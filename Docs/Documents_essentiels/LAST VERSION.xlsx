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c0e86369faa3ea01/Bureau/UPcite/S6/Projet/Documents_essentiels/"/>
    </mc:Choice>
  </mc:AlternateContent>
  <xr:revisionPtr revIDLastSave="5" documentId="14_{3B36225F-5112-4322-B9B8-53BBF7102B19}" xr6:coauthVersionLast="47" xr6:coauthVersionMax="47" xr10:uidLastSave="{011468BB-E39E-4C52-8F75-F2EC3F72F1E9}"/>
  <bookViews>
    <workbookView xWindow="-108" yWindow="-108" windowWidth="23256" windowHeight="12456" tabRatio="500" firstSheet="1" activeTab="3" xr2:uid="{00000000-000D-0000-FFFF-FFFF00000000}"/>
  </bookViews>
  <sheets>
    <sheet name="CUBE" sheetId="1" r:id="rId1"/>
    <sheet name="1_Structurer" sheetId="2" r:id="rId2"/>
    <sheet name="2_ProtégerAutour" sheetId="3" r:id="rId3"/>
    <sheet name="3_ProtégerInterieur" sheetId="4" r:id="rId4"/>
    <sheet name="4_Défendre" sheetId="5" r:id="rId5"/>
    <sheet name="5_Résilience" sheetId="6" r:id="rId6"/>
    <sheet name="Feuille7" sheetId="7" r:id="rId7"/>
  </sheets>
  <definedNames>
    <definedName name="_xlnm._FilterDatabase" localSheetId="6" hidden="1">Feuille7!$A$1:$B$21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81" i="6" l="1"/>
  <c r="E60" i="6"/>
  <c r="E26" i="6"/>
  <c r="E15" i="6"/>
  <c r="E80" i="5"/>
  <c r="E59" i="5"/>
  <c r="E26" i="5"/>
  <c r="E15" i="5"/>
  <c r="E60" i="4"/>
  <c r="E26" i="4"/>
  <c r="E15" i="4"/>
  <c r="E51" i="3"/>
  <c r="E44" i="3"/>
  <c r="E17" i="3"/>
  <c r="E8" i="3"/>
  <c r="E37" i="2"/>
  <c r="D1" i="1" s="1"/>
  <c r="E7" i="2"/>
  <c r="B1" i="1"/>
</calcChain>
</file>

<file path=xl/sharedStrings.xml><?xml version="1.0" encoding="utf-8"?>
<sst xmlns="http://schemas.openxmlformats.org/spreadsheetml/2006/main" count="927" uniqueCount="556">
  <si>
    <t>1 Structurer</t>
  </si>
  <si>
    <t>1_1 Recenser les SI - 1</t>
  </si>
  <si>
    <t>1_2 Cadre de gouvernance - 2</t>
  </si>
  <si>
    <t>1_3 Mise en œuvre d'une approche par les risques - 3</t>
  </si>
  <si>
    <t>1_4 Maîtrise de l'écosystème 
(carto et convention) - 4</t>
  </si>
  <si>
    <t>1_5 Organiser l'audit - 5</t>
  </si>
  <si>
    <t>2 Protection externe</t>
  </si>
  <si>
    <t>2_1 Prise en compte de la cyber dans la gestion RH - 6</t>
  </si>
  <si>
    <t>2_2 Maîtrise des accès physiques - 8</t>
  </si>
  <si>
    <t>2_3 Sécurisation de l'architecture des SIR - 9</t>
  </si>
  <si>
    <t>2_4 Sécurisation des accès distants aux SIR - 10</t>
  </si>
  <si>
    <t>2_5 Prise d'information</t>
  </si>
  <si>
    <t>3 Protection interne</t>
  </si>
  <si>
    <t>3_1 Maîtrise des SIR
(carto et MCO) – 7</t>
  </si>
  <si>
    <t>3_2 Protection contre le code malveillant - 11</t>
  </si>
  <si>
    <t>3_3 Sécurisation des ressources - 12</t>
  </si>
  <si>
    <t>3_4 Gestion des identités et des accès - 13</t>
  </si>
  <si>
    <t>3_5 Maîtrise de l'administration des SIR – 14</t>
  </si>
  <si>
    <t>4 Défendre</t>
  </si>
  <si>
    <t>4_1 SI d'administration – 15</t>
  </si>
  <si>
    <t>4_2 Echanges avec le SI d'administration – 15</t>
  </si>
  <si>
    <t>4_3 Supervision de la sécurité - 16</t>
  </si>
  <si>
    <t>4_4 Anticipation des incidents</t>
  </si>
  <si>
    <r>
      <rPr>
        <b/>
        <sz val="8"/>
        <color theme="1"/>
        <rFont val="Calibri"/>
        <family val="2"/>
        <charset val="1"/>
      </rPr>
      <t xml:space="preserve">4_5 Capacité de réaction aux </t>
    </r>
    <r>
      <rPr>
        <b/>
        <u/>
        <sz val="8"/>
        <color theme="1"/>
        <rFont val="Calibri"/>
        <family val="2"/>
        <charset val="1"/>
      </rPr>
      <t>incidents</t>
    </r>
    <r>
      <rPr>
        <b/>
        <sz val="8"/>
        <color theme="1"/>
        <rFont val="Calibri"/>
        <family val="2"/>
        <charset val="1"/>
      </rPr>
      <t xml:space="preserve"> - 17</t>
    </r>
  </si>
  <si>
    <t>5 Résilience</t>
  </si>
  <si>
    <r>
      <rPr>
        <b/>
        <sz val="8"/>
        <color theme="1"/>
        <rFont val="Calibri"/>
        <family val="2"/>
        <charset val="1"/>
      </rPr>
      <t xml:space="preserve">5_1 Capacité de réaction aux </t>
    </r>
    <r>
      <rPr>
        <b/>
        <u/>
        <sz val="8"/>
        <color theme="1"/>
        <rFont val="Calibri"/>
        <family val="2"/>
        <charset val="1"/>
      </rPr>
      <t>crises - 19</t>
    </r>
  </si>
  <si>
    <t>5_2 Capacité de continuité - 18</t>
  </si>
  <si>
    <t>5_3 Capacité de reprise - 18</t>
  </si>
  <si>
    <t>5_4 Vérification des capacités opérationnelles - 20</t>
  </si>
  <si>
    <t>5_5 Communication</t>
  </si>
  <si>
    <t>R1_1 Recenser les SI</t>
  </si>
  <si>
    <t>EI</t>
  </si>
  <si>
    <t>Applicable</t>
  </si>
  <si>
    <t>Atteinte</t>
  </si>
  <si>
    <t>Règle</t>
  </si>
  <si>
    <t>Dépendance</t>
  </si>
  <si>
    <t>Question 1</t>
  </si>
  <si>
    <t>Question 2</t>
  </si>
  <si>
    <t>R1_1_1</t>
  </si>
  <si>
    <t>L’entité liste l’ensemble de ses activités et services, y compris les activités et services qui ne correspondent pas aux critères pour lesquels l’entité est devenue une entité importante ou essentielle.</t>
  </si>
  <si>
    <t>O</t>
  </si>
  <si>
    <t>0 OU 4</t>
  </si>
  <si>
    <t>Avez-vous fait la liste de l’ensemble de vos activités et services ?</t>
  </si>
  <si>
    <t>Nombre de SIR :</t>
  </si>
  <si>
    <t>R1_1_2</t>
  </si>
  <si>
    <t>L’entité peut, au cas par cas et en le justifiant, exclure des systèmes d’information, parmi ceux listés en (1_1_1).</t>
  </si>
  <si>
    <t>Avez-vous exclu des systèmes d'information de la mise en œuvre NIS ?</t>
  </si>
  <si>
    <t>R1_1_3</t>
  </si>
  <si>
    <t>Les systèmes d’information exclus sont distingués des autres systèmes d’information dans la liste prévue au (1_1_1).</t>
  </si>
  <si>
    <t>F</t>
  </si>
  <si>
    <t>Si R1_1_2 = 10</t>
  </si>
  <si>
    <t>Les SI exclus sont-ils distingués dans la liste prévue au R1_1_1 ?</t>
  </si>
  <si>
    <t>R1_1_4</t>
  </si>
  <si>
    <t>L’entité valide et réexamine annuellement, ou en tant que de besoin notamment en cas de mise en service d’un nouveau système d’information, la pertinence des exclusions.</t>
  </si>
  <si>
    <t>Date de dernière révision de la liste d'exclusion ou à défaut, date de mise en place de celle-ci :</t>
  </si>
  <si>
    <t>==&gt; La notation peut donc évoluer automatiquement.</t>
  </si>
  <si>
    <t>Note R1_1</t>
  </si>
  <si>
    <t>R1_2 Cadre de gouvernance</t>
  </si>
  <si>
    <t>R1_2_1</t>
  </si>
  <si>
    <t>Le dirigeant exécutif de l’entité désigne au moins une personne qui le conseille et l’accompagne dans l’exercice de cette responsabilité. Cette personne est le point de contact privilégié de l’Agence nationale de la sécurité des systèmes d’information.</t>
  </si>
  <si>
    <t>Avez-vous désigné…</t>
  </si>
  <si>
    <t>R1_2_2</t>
  </si>
  <si>
    <t>L’entité définit et met en oeuvre une organisation adaptée pour assurer sa sécurité numérique.</t>
  </si>
  <si>
    <t>Document définisant l'organisation visant à assurer la sécurité informatique :</t>
  </si>
  <si>
    <t>R1_2_3</t>
  </si>
  <si>
    <t>La PSSI comprend l’organisation de la gouvernance de la sécurité numérique</t>
  </si>
  <si>
    <t>Chapitre de la PSSI présentant l'organisation…</t>
  </si>
  <si>
    <t>R1_2_4</t>
  </si>
  <si>
    <t>La PSSI comprend les orientations et objectifs stratégiques en matière de sécurité numérique</t>
  </si>
  <si>
    <t>Chapitre de la PSSI présentant les orientations…</t>
  </si>
  <si>
    <t>R1_2_5</t>
  </si>
  <si>
    <t>La PSSI comprend l’engagement du dirigeant exécutif de l’entité à assurer la sécurité numérique</t>
  </si>
  <si>
    <t>Chapitre de la PSSI présentant l'engagement…</t>
  </si>
  <si>
    <t>R1_2_6</t>
  </si>
  <si>
    <t>La PSSI comprend l’engagement du dirigeant exécutif de l’entité à assurer la conformité aux exigences légales et réglementaires</t>
  </si>
  <si>
    <t>R1_2_7</t>
  </si>
  <si>
    <t>Le dirigeant exécutif de l’entité approuve la PSSI.</t>
  </si>
  <si>
    <t>Date d'approbation de la PSSI :</t>
  </si>
  <si>
    <t>R1_2_8</t>
  </si>
  <si>
    <t>La PSSI est revue annuellement et mise à jour lorsque nécessaire</t>
  </si>
  <si>
    <t>Date de dernière révision de la PSSI :</t>
  </si>
  <si>
    <t>R1_2_9</t>
  </si>
  <si>
    <t>Dans le cadre de la PSSI, l’entité définit et met en oeuvre des politiques de sécurité en matière d’usage du chiffrement.</t>
  </si>
  <si>
    <t>0 à 4</t>
  </si>
  <si>
    <t>Nombre de SIR à chiffrer :</t>
  </si>
  <si>
    <t>Nombre de SIR ayant fait l'objet d'un chiffrement :</t>
  </si>
  <si>
    <t>R1_2_10</t>
  </si>
  <si>
    <t>Dans le cadre de la PSSI, l’entité définit et met en oeuvre des politiques de sécurité en matière de contrôle d’accès physique</t>
  </si>
  <si>
    <t>Nombre de sites où mettre en place un contrôle de l'accès physique :</t>
  </si>
  <si>
    <t>Nombre de SIR où un tel contrôle a été mis en place :</t>
  </si>
  <si>
    <t>R1_2_11</t>
  </si>
  <si>
    <t>Dans le cadre de la PSSI, l’entité définit et met en oeuvre des politiques de sécurité en matière de contrôle d’accès logique</t>
  </si>
  <si>
    <t>Nombre de SIR où mettre en place un accès logique :</t>
  </si>
  <si>
    <t>Nombre de SIR où un tel accès a été mis en place :</t>
  </si>
  <si>
    <t>R1_2_12</t>
  </si>
  <si>
    <t>Dans le cadre de la PSSI, l’entité définit et met en oeuvre des politiques de sécurité en matière de revue de l’application des mesures de sécurité mises en oeuvre</t>
  </si>
  <si>
    <t>Mettez-vous en œuvre une revue de l'application des mesures de sécurité ?</t>
  </si>
  <si>
    <t>R1_2_13</t>
  </si>
  <si>
    <t>Dans le cadre de la PSSI, l’entité définit et met en oeuvre des politiques de sécurité en matière de maintien en condition de sécurité.</t>
  </si>
  <si>
    <t>Mettez-vous en œuvre une politique en matière de maintien en condition de sécurité ?</t>
  </si>
  <si>
    <t>R1_2_14</t>
  </si>
  <si>
    <t>Pour chaque système d’information réglementé, l’entité réalise et maintient à jour une analyse de la conformité du système d’information réglementé vis-à-vis des présentes mesures.</t>
  </si>
  <si>
    <t>Nombre de SIR faisant l'objet d'une analyse de conformité :</t>
  </si>
  <si>
    <t>==&gt; 5 si question suivante renseignée.</t>
  </si>
  <si>
    <t>R1_2_15</t>
  </si>
  <si>
    <t xml:space="preserve">En cas de recours à une ou plusieurs alternatives prévues dans les présentes mesures, </t>
  </si>
  <si>
    <t xml:space="preserve">Existe-t-il des alternatives par rapport à la règle R1_2_14 ? </t>
  </si>
  <si>
    <t>R1_2_16</t>
  </si>
  <si>
    <t>L’entité les renseigne dans l’analyse de la conformité avec les justifications associées.</t>
  </si>
  <si>
    <t>Chapitre de la mise en conformité justifiant de ces alternatives :</t>
  </si>
  <si>
    <t>R1_2_17</t>
  </si>
  <si>
    <t>L’entité est capable de démontrer à tout moment l’atteinte des objectifs fixés par la réglementation, notamment en cas de contrôle.</t>
  </si>
  <si>
    <t>Répertoire des dépôts de preuve de respect de la réglementation :</t>
  </si>
  <si>
    <t>Note R1_2</t>
  </si>
  <si>
    <t>R1_3 Mise en œuvre d'une approche par les risques</t>
  </si>
  <si>
    <t>R1_3_1</t>
  </si>
  <si>
    <t>L’entité définit, met en oeuvre et maintient à jour une gouvernance par les risques.</t>
  </si>
  <si>
    <t>Document définissant la gouvernance par les risques :</t>
  </si>
  <si>
    <t>R1_3_2</t>
  </si>
  <si>
    <t>L’entité s’assure que chaque système d’information réglementé fait l’objet d’une analyse de risques.</t>
  </si>
  <si>
    <t>Nombre de SIR ayant fait l'objet d'une analyse de risque :</t>
  </si>
  <si>
    <t>R1_3_3</t>
  </si>
  <si>
    <t>L’entité valide l’analyse de risques et accepte les risques résiduels.</t>
  </si>
  <si>
    <t>Nombre d'analyses de risques validées :</t>
  </si>
  <si>
    <t>R1_3_4</t>
  </si>
  <si>
    <t>L’entité met en oeuvre le plan d’action pour maîtriser ces risques.</t>
  </si>
  <si>
    <t>Nombre de plans d'actions mis en œuvre pour maîtriser les risques (au maximum, un par analyse de risques) ;</t>
  </si>
  <si>
    <t>R1_3_5</t>
  </si>
  <si>
    <t>L’entité réexamine l’analyse de risques au minimum tous les 3 ans et en tant que de besoin.</t>
  </si>
  <si>
    <t>Date des derniers réexamens des analyses de risques :</t>
  </si>
  <si>
    <t>Note R1_3</t>
  </si>
  <si>
    <t>R1_4 Maîtrise de l'écosystème</t>
  </si>
  <si>
    <t>R1_4_1</t>
  </si>
  <si>
    <t>L’entité définit et maintient à jour une cartographie de l’écosystème dans lequel ses systèmes d’information réglementés sont mis en œuvre</t>
  </si>
  <si>
    <t>Document de cartographie de l'écosystème des SIR :</t>
  </si>
  <si>
    <t>R1_4_2</t>
  </si>
  <si>
    <t>L’entité renseigne les coordonnées d’au moins un point de contact pour chaque entrée figurant dans la cartographie de l’écosystème.</t>
  </si>
  <si>
    <t>Nombre d'entrées dans la cartographie :</t>
  </si>
  <si>
    <t>Nombre de points de contacts identifiés :</t>
  </si>
  <si>
    <t>R1_4_3</t>
  </si>
  <si>
    <t xml:space="preserve">En cas de recours à un prestataire, </t>
  </si>
  <si>
    <t>Faites-vous appel à un prestataire ?</t>
  </si>
  <si>
    <t>R1_4_4</t>
  </si>
  <si>
    <t>L’entité s’assure de la conformité de la prestation aux exigences de la directive NIS 2, et dispose des assurances contractuelles de cette conformité.</t>
  </si>
  <si>
    <t>Nombre de prestataires :</t>
  </si>
  <si>
    <t>Nombre de documents contractuels d'assurance de la conformité des prestataires :</t>
  </si>
  <si>
    <t>Note R1_4</t>
  </si>
  <si>
    <t>R1_5 Organiser l'audit</t>
  </si>
  <si>
    <t>R1_5_1</t>
  </si>
  <si>
    <t>L’entité met en oeuvre un programme d’audit et s’assure que l’ensemble de ses systèmes d’information réglementés fait l’objet d’un audit au moins tous les trois ans.</t>
  </si>
  <si>
    <t>Nombre de SIR ayant fait l'objet d'un audit ces trois dernières années :</t>
  </si>
  <si>
    <t>==&gt; La date à laquelle on répond à cette question est importante !</t>
  </si>
  <si>
    <t>R1_5_2</t>
  </si>
  <si>
    <t>L’audit de sécurité permet de vérifier l’atteinte des objectifs fixés par la réglementation et d’évaluer le niveau de sécurité</t>
  </si>
  <si>
    <t>R1_5_3</t>
  </si>
  <si>
    <t>L’audit de sécurité comprend un test d’intrusion, un audit de configuration, un audit d’architecture, un audit organisationnel et physique et, lorsque cela est pertinent, un audit de code.</t>
  </si>
  <si>
    <t>R1_5_4</t>
  </si>
  <si>
    <t>Le rapport de l’audit de sécurité présente une synthèse de la conformité aux présentes mesures, les constats de non-conformité et les recommandations pour y remédier.</t>
  </si>
  <si>
    <t>R1_5_5</t>
  </si>
  <si>
    <t>L’entité définit et met en oeuvre un plan d’action visant à corriger les non-conformités et les vulnérabilités identifiées.</t>
  </si>
  <si>
    <t>Note R1_5</t>
  </si>
  <si>
    <t>2_1 Prise en compte de la cyber dans la gestion RH</t>
  </si>
  <si>
    <t>R2_1_1</t>
  </si>
  <si>
    <t>L’entité définit et met en oeuvre une charte d’usage des systèmes d’information, applicable au minimum aux systèmes d’information réglementés, et la rend opposable à chacun.</t>
  </si>
  <si>
    <t xml:space="preserve">Charte d'usage des SI : </t>
  </si>
  <si>
    <t>R2_1_2</t>
  </si>
  <si>
    <t>L’entité définit et met en oeuvre un programme de sensibilisation à la sécurité numérique de l’ensemble des utilisateurs des systèmes d’information réglementés.</t>
  </si>
  <si>
    <t>Nombre de personnes à former :</t>
  </si>
  <si>
    <t>Nombre de personnes formées :</t>
  </si>
  <si>
    <t>R2_1_3</t>
  </si>
  <si>
    <t>L’entité prévoit des clauses de sécurité dans les contrats de travail.</t>
  </si>
  <si>
    <t>N</t>
  </si>
  <si>
    <t>R2_1_4</t>
  </si>
  <si>
    <t xml:space="preserve">L’entité définit et met en oeuvre un processus de gestion des arrivées, des départs et des changements de fonction des personnels et des tiers accédant aux systèmes d’information réglementés. </t>
  </si>
  <si>
    <t>R2_1_5</t>
  </si>
  <si>
    <t>L’entité définit et met en oeuvre, pour les fonctions assumant des responsabilités dans le domaine du numérique, un programme de formations dédiées à la sécurité numérique.</t>
  </si>
  <si>
    <t>Note R2_1</t>
  </si>
  <si>
    <t>2_2 Maîtrise des accès physiques</t>
  </si>
  <si>
    <t>R2_2_1</t>
  </si>
  <si>
    <t>L’entité met en place des mesures de sécurité permettant de limiter l’accès de personnes non autorisées à ses locaux, ses salles serveurs et ses locaux techniques.</t>
  </si>
  <si>
    <t>Nombre de locaux dont l'accès doit être limité :</t>
  </si>
  <si>
    <t>Nombre de locaux dont l'accès est limité :</t>
  </si>
  <si>
    <t>R2_2_2</t>
  </si>
  <si>
    <t>L’entité s’assure de la protection physique des locaux, salles serveurs et locaux techniques.</t>
  </si>
  <si>
    <t>R2_2_3</t>
  </si>
  <si>
    <t>L’entité s’assure du contrôle des accès aux locaux, aux salles serveurs et aux locaux techniques.</t>
  </si>
  <si>
    <t>R2_2_4</t>
  </si>
  <si>
    <t>L’entité s’assure que les droits d'accès physique sont attribués au regard du besoin strictement nécessaire à l’exécution des missions.</t>
  </si>
  <si>
    <t>R2_2_5</t>
  </si>
  <si>
    <t>L'entité s'assure que les personnes externes accédant aux locaux techniques et salles serveurs de l’entité sont accompagnées.</t>
  </si>
  <si>
    <t>Note R2_2</t>
  </si>
  <si>
    <t>2_3 Sécurisation de l'architecture des SIR</t>
  </si>
  <si>
    <t>R2_3_1</t>
  </si>
  <si>
    <t>L’entité cloisonne physiquement ou logiquement l’ensemble de ses systèmes d’information réglementés vis-à-vis des autres systèmes d’information.</t>
  </si>
  <si>
    <t>Nombre de SIR cloisonnés vis-à-vis des autres SI :</t>
  </si>
  <si>
    <t>R2_3_2</t>
  </si>
  <si>
    <t>L’entité cloisonne physiquement ou logiquement chaque système d’information réglementé vis-à-vis des autres systèmes d’information.</t>
  </si>
  <si>
    <t>R2_3_3</t>
  </si>
  <si>
    <t>L’entité mène des réflexions, pour chaque système d’information réglementé, sur la pertinence de définir des sous-systèmes. Lorsqu’elle n’identifie aucun sous-système, l’entité en apporte la justification.</t>
  </si>
  <si>
    <t>R2_3_4</t>
  </si>
  <si>
    <t>Les sous-systèmes identifiés à la mesure R2_3_3 sont cloisonnés entre eux physiquement ou logiquement.</t>
  </si>
  <si>
    <t>R2_3_5</t>
  </si>
  <si>
    <t>L’entité met en oeuvre au moins un sous-système “passerelle sortante” permettant aux ressources des SIR d’accéder aux SI tiers et d’authentifier, de filtrer et de tracer les accès aux SI tiers.</t>
  </si>
  <si>
    <t>R2_3_6</t>
  </si>
  <si>
    <t>L’entité met en oeuvre au moins un sous-système “passerelle entrante” permettant d’exposer des ressources des SIR aux SI tiers et de filtrer et de tracer les accès depuis des SI tiers.</t>
  </si>
  <si>
    <t>R2_3_7</t>
  </si>
  <si>
    <t>Seules les interconnexions nécessaires à la réalisation des activités et services de l’entité ou au maintien en condition opérationnelle ou de sécurité sont mises en oeuvre entre l’ensemble des systèmes d’information réglementés et les autres systèmes d’information.</t>
  </si>
  <si>
    <t>R2_3_8</t>
  </si>
  <si>
    <t>Seules les interconnexions nécessaires à la réalisation des activités et services de l’entité ou au maintien en condition opérationnelle ou de sécurité sont mises en oeuvre entre chaque SIR et les autres systèmes d’information, ou entre les sous-systèmes du SIR.</t>
  </si>
  <si>
    <t>R2_3_9</t>
  </si>
  <si>
    <t>L’entité définit et documente les communications nécessaires à la réalisation des activités et services de l’entité ou au maintien en condition opérationnelle de sécurité circulant entre l’ensemble des SIR et les autres systèmes d’information.</t>
  </si>
  <si>
    <t>R2_3_10</t>
  </si>
  <si>
    <t>L’entité définit et documente les communications nécessaires à la réalisation des activités et services de l’entité ou au maintien en condition opérationnelle de sécurité circulant entre chaque système d’information réglementé et les autres systèmes d’information, ou entre les sous-systèmes du système d’information réglementé.</t>
  </si>
  <si>
    <t>R2_3_11</t>
  </si>
  <si>
    <t>L’entité met en oeuvre, au niveau des interconnexions, les règles de filtrage pour n’autoriser que les communications identifiées à la mesure R2_3_9 ou R2_3_10. Les autres communications sont bloquées par défaut.</t>
  </si>
  <si>
    <t>R2_3_12</t>
  </si>
  <si>
    <t>Au minimum, les communications entre les systèmes d’information réglementés de l’entité et les SI tiers sont filtrés par un ou des pares-feux dédiés à cet usage.</t>
  </si>
  <si>
    <t>R2_3_13</t>
  </si>
  <si>
    <t>L’entité effectue annuellement une revue de la mise en oeuvre technique des règles de filtrage mentionnées à la mesure R2_3_11 .</t>
  </si>
  <si>
    <t>Note R2_3</t>
  </si>
  <si>
    <t>2_4 Sécurisation des accès distants aux SIR</t>
  </si>
  <si>
    <t>R2_4_1</t>
  </si>
  <si>
    <t>L’entité protège les accès à ses systèmes d’information réglementés (SIR) effectués à travers un système d’information tiers au moyen de mécanismes de chiffrement.</t>
  </si>
  <si>
    <t>Nombre de SIR dont l'accès est protégé :</t>
  </si>
  <si>
    <t>R2_4_2</t>
  </si>
  <si>
    <t xml:space="preserve">De plus, lorsque les accès visés à la mesure R2_4_1 sont effectués par l’entité ou un prestataire qu’elle a mandaté à cet effet, </t>
  </si>
  <si>
    <t>R2_4_3</t>
  </si>
  <si>
    <t>l’entité protège les accès aux SIR par un mécanisme d'authentification conforme aux mesures de l’Objectif de sécurité [13]</t>
  </si>
  <si>
    <t>R2_4_4</t>
  </si>
  <si>
    <t>Pour les accès visés à la mesure R2_4_2, le mécanisme d’authentification s’appuie sur une authentification multifacteur reposant au moins sur un facteur de connaissance.</t>
  </si>
  <si>
    <t>Conditionné</t>
  </si>
  <si>
    <t>Si R_4_4 activée : note = moitié de celle de la R_4_4</t>
  </si>
  <si>
    <t>R2_4_5</t>
  </si>
  <si>
    <t>Lorsque des raisons techniques ou opérationnelles ne permettent pas la mise en oeuvre d’une authentification multifacteur, l’entité met en oeuvre des mesures permettant de réduire le risque associé.</t>
  </si>
  <si>
    <t>R2_4_6</t>
  </si>
  <si>
    <t>Les mémoires de masse des postes de travail et équipements mobiles permettant aux personnels et prestataires de l’entité d’accéder à distance au SIR depuis un lieu qui n’est pas maîtrisé par l’entité, sont en permanence protégées par des mécanismes de chiffrement et d’authentification.</t>
  </si>
  <si>
    <t>Note R2_4</t>
  </si>
  <si>
    <t>R2_5_1</t>
  </si>
  <si>
    <t>L'entité est intégrée à une chaîne de remontée des prévisions de risques et des vulnérabilités.</t>
  </si>
  <si>
    <t>Nom de l'organisation assurant la remontée des prévisions de risques :</t>
  </si>
  <si>
    <t>R2_5_2</t>
  </si>
  <si>
    <t>L'entité met en œuvre un processus d'analyse des informations obtenues par la mesure R2_5_1 en vue d'estimer les potentielles applications à ses SIR.</t>
  </si>
  <si>
    <t>R2_5_3</t>
  </si>
  <si>
    <t>L'entité met en œuvre un processus de suivi des mesures visant à amoindrir les risques apparus suite à la mise en œuvre de la mesure R2_5_2.</t>
  </si>
  <si>
    <t>Note R2_5</t>
  </si>
  <si>
    <t>3_1 Maîtrise des SIR (carto et MCO)</t>
  </si>
  <si>
    <t>R3_1_1</t>
  </si>
  <si>
    <t>L’entité élabore et maintient à jour une cartographie de ses SIR dont le niveau de détail est suffisant pour lui permettre d’assurer le maintien en condition opérationnel et de sécurité et de pouvoir réagir dans un délai raisonnable à un incident.</t>
  </si>
  <si>
    <t>Nombre de SIR cartographiés :</t>
  </si>
  <si>
    <t>R3_1_2</t>
  </si>
  <si>
    <t>L’entité élabore, met en oeuvre et maintient à jour une procédure de maintien en conditions opérationnelle et de sécurité des ressources matérielles et logicielles.</t>
  </si>
  <si>
    <t>R3_1_3</t>
  </si>
  <si>
    <t>L’entité maintient à jour des bases de connaissances des outils de protection contre les codes malveillants.</t>
  </si>
  <si>
    <t>R3_1_4</t>
  </si>
  <si>
    <t>L’entité met en oeuvre une veille sur les vulnérabilités, les correctifs de sécurité et des mesures d’atténuation préconisées susceptibles de concerner les ressources de ses SIR.</t>
  </si>
  <si>
    <t>Basculer en 2_5 ?</t>
  </si>
  <si>
    <t>R3_1_5</t>
  </si>
  <si>
    <t>L’entité installe sans délai les correctifs de sécurité sur les ressources exposées à des réseaux tiers.</t>
  </si>
  <si>
    <t>R3_1_6</t>
  </si>
  <si>
    <t>L’entité essentielle planifie et installe sur l’ensemble de ses ressources les correctifs de sécurité.</t>
  </si>
  <si>
    <t>R3_1_7</t>
  </si>
  <si>
    <t>Lorsque des raisons techniques ou opérationnelles ne permettent pas l’installation des correctifs de sécurité sur les ressources concernées, l’entité met en oeuvre des mesures d’atténuation pour réduire les risques.</t>
  </si>
  <si>
    <t>R3_1_8</t>
  </si>
  <si>
    <t>L’entité installe et maintient à jour les ressources logicielles de ses SIR, y compris les logiciels embarqués, dans des versions supportées par leurs fournisseurs ou leurs fabricants et comportant les mises à jour de sécurité.</t>
  </si>
  <si>
    <t>R3_1_9</t>
  </si>
  <si>
    <t>L’entité vérifie que toute nouvelle version est téléchargée depuis les ressources mises à disposition par les éditeurs ou les fournisseurs.</t>
  </si>
  <si>
    <t>R3_1_10</t>
  </si>
  <si>
    <t>Lorsque des raisons techniques ou opérationnelles ne permettent pas l’installation d’une version supportée par le fournisseur ou l’éditeur, l’entité met en oeuvre des mesures pour réduire les risques.</t>
  </si>
  <si>
    <t>R3_1_11</t>
  </si>
  <si>
    <t>L’entité définit et met en oeuvre des mécanismes permettant de prendre connaissance, dans les meilleurs délais, des alertes émises.</t>
  </si>
  <si>
    <t>R3_1_12</t>
  </si>
  <si>
    <t>L’entité s’assure de la mise en oeuvre d’une procédure pour traiter ces alertes et le cas échéant appliquer les mesures préconisées.</t>
  </si>
  <si>
    <t>Note R3_1</t>
  </si>
  <si>
    <t>3_2 Protection contre le code malveillant</t>
  </si>
  <si>
    <t>R3_2_1</t>
  </si>
  <si>
    <t>Seules les ressources matérielles clairement identifiées et participant à la réalisation des activités ou la fourniture des services ou au maintien en condition opérationnelle et de sécurité se connectent aux SIR.</t>
  </si>
  <si>
    <t>Nombre de SIR pour lesquels il a été contrôlé que…</t>
  </si>
  <si>
    <t>R3_2_2</t>
  </si>
  <si>
    <t>Seules les ressources matérielles assurant la gestion et participant à la réalisation des activités ou la fourniture des services de l’entité ou au maintien en condition opérationnelle et de sécurité se connectent aux SIR.</t>
  </si>
  <si>
    <t>R3_2_3</t>
  </si>
  <si>
    <t>L’entité met en oeuvre des mesures organisationnelles ou techniques visant à empêcher la connexion des ressources matérielles autres que celles identifiées à la mesure R3_2_1 sur ses SIR.</t>
  </si>
  <si>
    <t>R3_2_4</t>
  </si>
  <si>
    <t>L’entité met en oeuvre des mesures organisationnelles ou techniques visant à empêcher la connexion des ressources matérielles autres que celles identifiées à la mesure R3_2_2 sur ses SIR.</t>
  </si>
  <si>
    <t>R3_2_5</t>
  </si>
  <si>
    <t>Seuls les supports amovibles réinscriptibles nécessaires à la réalisation des activités et services de l’entité ou au maintien en condition opérationnelle ou de sécurité se connectent à ses SIR.</t>
  </si>
  <si>
    <t>R3_2_6</t>
  </si>
  <si>
    <t>Les postes de travail, les serveurs et les équipements mobiles maîtrisés par l’entité, qui sont amenés à traiter de données provenant de sources externes disposent de mécanismes de protection contre les risques d'exécution de codes malveillants.</t>
  </si>
  <si>
    <t>R3_2_7</t>
  </si>
  <si>
    <t>L’entité procède à l’analyse des données provenant de sources externes lors de leur réception, pour y rechercher des codes malveillants.</t>
  </si>
  <si>
    <t>Note R3_2</t>
  </si>
  <si>
    <t>3_3 Sécurisation des ressources</t>
  </si>
  <si>
    <t>R3_3_1</t>
  </si>
  <si>
    <t>Seules les ressources logicielles nécessaires à la réalisation des activités et services de l’entité ou au maintien en condition opérationnelle ou de sécurité sont installées ou conservées sur les SIR.</t>
  </si>
  <si>
    <t>R3_3_2</t>
  </si>
  <si>
    <t>Il existe des raisons techniques ou opérationnelles ne permettent pas de désactiver ou désinstaller une ressource logicielle.</t>
  </si>
  <si>
    <t>Nombre de SIR concernés :</t>
  </si>
  <si>
    <t>R3_3_3</t>
  </si>
  <si>
    <t>Dans ce cas, l’entité met en oeuvre des mesures permettant de réduire le risque associé.</t>
  </si>
  <si>
    <t>Si R3_3₂ &gt; 0</t>
  </si>
  <si>
    <t>Nombre de SIR concernés pour lesquels le risque a été réduit :</t>
  </si>
  <si>
    <t>R3_3_4</t>
  </si>
  <si>
    <t>L’entité configure les ressources de ses SIR de manière sécurisée et en s’appuyant sur les recommandations de l’éditeur de la fonctionnalité, du fabricant de la ressource ou de l’autorité nationale de sécurité des systèmes d’information.</t>
  </si>
  <si>
    <t>R3_3_5</t>
  </si>
  <si>
    <t>L’entité effectue annuellement une revue de configuration des ressources de ses SIR pour vérifier l’application des mesures précédentes. Il est recommandé que cette revue s’appuie sur un ou des outils automatisés.</t>
  </si>
  <si>
    <t>Note R3_3</t>
  </si>
  <si>
    <t>3_4 Gestion des identités et des accès</t>
  </si>
  <si>
    <t>R3_4_1</t>
  </si>
  <si>
    <t>Les utilisateurs accédant aux ressources des SIR de l’entité importante ou essentielle disposent de comptes individuels.</t>
  </si>
  <si>
    <t>Nombre d'utilisateurs accédant aux SIR</t>
  </si>
  <si>
    <t>Nombre d'utilisateurs disposant d'un compte individuel</t>
  </si>
  <si>
    <t>Toujours distinguer utilisateurs et processus automatiques</t>
  </si>
  <si>
    <t>R3_4_2</t>
  </si>
  <si>
    <t>Les processus automatiques accédant aux ressources des SIR de l’entité importante ou essentielle disposent de comptes individuels.</t>
  </si>
  <si>
    <t>Nombre de processus accédant aux SIR :</t>
  </si>
  <si>
    <t>Nombre de processus disposant d’un compte individuel :</t>
  </si>
  <si>
    <t>R3_4_3</t>
  </si>
  <si>
    <t>L’emploi d’un compte individuel du SIR est réservé à l’utilisateur auquel ce compte a été attribué.</t>
  </si>
  <si>
    <t>R3_4_4</t>
  </si>
  <si>
    <t>L’emploi d’un compte individuel du SIR est réservé au processus automatique auquel ce compte a été attribué.</t>
  </si>
  <si>
    <t>R3_4_5</t>
  </si>
  <si>
    <t>Lorsque des raisons techniques ou opérationnelles ne permettent pas de créer de comptes individuels, l’entité met en place des mesures permettant de réduire le risque lié à l'utilisation de comptes partagés et d'assurer la traçabilité de l'utilisation de ces comptes.</t>
  </si>
  <si>
    <t>R3_4_6</t>
  </si>
  <si>
    <t>Lorsqu'un SIR est utilisé pour diffuser de l'information au public, l’entité n'est pas tenue de créer de comptes pour l'accès du public à cette information.</t>
  </si>
  <si>
    <t>R3_4_7</t>
  </si>
  <si>
    <t>L’entité désactive sans délai les comptes qui ne sont plus nécessaires.</t>
  </si>
  <si>
    <t>R3_4_8</t>
  </si>
  <si>
    <t>L’entité protège les accès des utilisateurs et processus automatiques aux ressources de ses SIR au moyen d'un mécanisme d'authentification impliquant au moins un élément secret.</t>
  </si>
  <si>
    <t>R3_4_9</t>
  </si>
  <si>
    <t>R3_4_10</t>
  </si>
  <si>
    <t>L’entité définit, conformément à sa politique de contrôle d’accès physique et logique, les règles de gestion des facteurs d'authentification mis en oeuvre dans ses SIR.</t>
  </si>
  <si>
    <t>R3_4_11</t>
  </si>
  <si>
    <t>L’entité change les éléments secrets configurés par défaut, avant la mise en service d’une ressource.</t>
  </si>
  <si>
    <t>R3_4_12</t>
  </si>
  <si>
    <t>L’élément secret d'un compte partagé est renouvelé à chaque retrait d'un utilisateur de ce compte.</t>
  </si>
  <si>
    <t>R3_4_13</t>
  </si>
  <si>
    <t>L’élément secret d’un compte n’est connu, accessible en clair ou modifiable que des utilisateurs qui en ont la responsabilité.</t>
  </si>
  <si>
    <t>R3_4_14</t>
  </si>
  <si>
    <t>Les facteurs d’authentification sont conformes à l’état de l'art préconisé par l'ANSSI en matière de complexité et en matière de fréquence de renouvellement.</t>
  </si>
  <si>
    <t>R3_4_15</t>
  </si>
  <si>
    <t>L’entité modifie sans délai l’élément secret associé à un compte désactivé.</t>
  </si>
  <si>
    <t>R3_4_16</t>
  </si>
  <si>
    <t>Lorsque des raisons techniques ou opérationnelles ne permettent pas de modifier l'élément secret, l’entité met en oeuvre un contrôle d'accès approprié à la ressource concernée ainsi que des mesures de réduction du risque.</t>
  </si>
  <si>
    <t>R3_4_17</t>
  </si>
  <si>
    <t>Dans le cadre de cette exception, l’entité met également en oeuvre des mesures de sécurité permettant d'assurer la traçabilité des accès.</t>
  </si>
  <si>
    <t>R3_4_18</t>
  </si>
  <si>
    <t>L’entité n’attribue des droits qu’aux utilisateurs et processus automatiques authentifiés.</t>
  </si>
  <si>
    <t>R3_4_19</t>
  </si>
  <si>
    <t>Pour chaque utilisateur ou chaque processus automatique, l’entité n'attribue les droits d'accès qu’aux seules ressources nécessaires à la réalisation des activités et services de l’entité ou au maintien en condition opérationnelle ou de sécurité.</t>
  </si>
  <si>
    <t>R3_4_20</t>
  </si>
  <si>
    <t>Pour chaque ressource du SIR, l’entité n’attribue les droits d’accès qu’aux seuls utilisateurs et processus automatiques justifiant d’un besoin au regard de leurs missions.</t>
  </si>
  <si>
    <t>R3_4_21</t>
  </si>
  <si>
    <t>L’entité effectue périodiquement, au moins annuellement, une revue des droits d’accès.</t>
  </si>
  <si>
    <t>Note R3_4</t>
  </si>
  <si>
    <t>3_5 Maîtrise de l'administration des SIR</t>
  </si>
  <si>
    <t>R3_5_1</t>
  </si>
  <si>
    <t>Les actions d’administration sur les SIR sont effectuées au moyen de comptes d’administration dédiés à cet usage.</t>
  </si>
  <si>
    <t>Nombre de SIR géré par un compte d'administration dédié aux SIR</t>
  </si>
  <si>
    <t>R3_5_2</t>
  </si>
  <si>
    <t>Les comptes d’administration ne sont utilisés que par des administrateurs ou des personnes autorisées.</t>
  </si>
  <si>
    <t>R3_5_3</t>
  </si>
  <si>
    <t>Les comptes d’administration sont des comptes qui respectent les mesures relatives à l’identification (cf. Objectif de sécurité 13).</t>
  </si>
  <si>
    <t>R3_5_4</t>
  </si>
  <si>
    <t>Un compte d'administration est utilisé exclusivement pour se connecter à un SIR, ou à une ressource pour effectuer des actions d’administration.</t>
  </si>
  <si>
    <t>R3_5_5</t>
  </si>
  <si>
    <t>Les actions d'administration sont effectuées exclusivement à partir de comptes d'administration, et inversement, les comptes d'administration sont utilisés exclusivement pour les actions d'administration</t>
  </si>
  <si>
    <t>R3_5_6</t>
  </si>
  <si>
    <t>L’octroi de privilèges administrateur à un compte utilisateur est interdit.</t>
  </si>
  <si>
    <t>R3_5_7</t>
  </si>
  <si>
    <t>Lorsque des raisons techniques ou opérationnelles ne permettent pas d’effectuer des actions d’administration à partir d'un compte d'administration, l’entité met en oeuvre des mesures permettant d'assurer le contrôle de ces actions d'administration et des mesures de réduction du risque.</t>
  </si>
  <si>
    <t>R3_5_8</t>
  </si>
  <si>
    <t>L’entité met également en oeuvre des mesures permettant d'assurer la traçabilité des actions d'administration réalisées.</t>
  </si>
  <si>
    <t>R3_5_9</t>
  </si>
  <si>
    <t>L’entité établit et tient à jour la liste des comptes d'administration de ses SIR.</t>
  </si>
  <si>
    <t>R3_5_10</t>
  </si>
  <si>
    <t>L’attribution des droits aux comptes d’administration est limitée aux droits nécessaires aux actions d’administration de ce compte, sur les seuls périmètres techniques et fonctionnels qu’il administre.</t>
  </si>
  <si>
    <t>R3_5_11</t>
  </si>
  <si>
    <t>Les administrateurs ne réutilisent pas les éléments secrets entre comptes d’administration, ou entre un compte d’administration et un compte utilisateur.</t>
  </si>
  <si>
    <t>R3_5_12</t>
  </si>
  <si>
    <t>Lors de toute modification d'un compte d’administration, l’entité vérifie que les droits d'accès aux ressources et fonctionnalités sont attribués en cohérence avec les besoins d'utilisation du compte.</t>
  </si>
  <si>
    <t>R3_5_13</t>
  </si>
  <si>
    <t>La sécurité des SIR de l’entité repose en grande partie sur la sécurité du ou des annuaires gérant les utilisateurs ou les ressources des SIR.</t>
  </si>
  <si>
    <t>R3_5_14</t>
  </si>
  <si>
    <t>Les actions d’administration du coeur de confiance sont réalisées via des comptes d’administration dédiés exclusivement à cet usage.</t>
  </si>
  <si>
    <t>R3_5_15</t>
  </si>
  <si>
    <t>Les actions d'administration du coeur de confiance sont réalisées via des ressources dédiées exclusivement à cet usage.</t>
  </si>
  <si>
    <t>R3_5_16</t>
  </si>
  <si>
    <t>Les connexions externes au coeur de confiance, à destination des ressources d’administration du coeur de confiance sont interdites par un dispositif de filtrage sur les ressources d’administration.</t>
  </si>
  <si>
    <t>R3_5_17</t>
  </si>
  <si>
    <t>L’entité effectue annuellement une revue de la configuration des annuaires gérant les utilisateurs ou les ressources de ses SIR, afin d’identifier tout élément inutile ou anormal. Il est recommandé que cette revue s’appuie sur un outil automatisé.</t>
  </si>
  <si>
    <t>Note R3_5</t>
  </si>
  <si>
    <t>4_1 SI d'administration</t>
  </si>
  <si>
    <t>R4_1_1</t>
  </si>
  <si>
    <r>
      <rPr>
        <sz val="11"/>
        <color rgb="FF000000"/>
        <rFont val="Calibri"/>
        <family val="2"/>
        <charset val="1"/>
        <scheme val="minor"/>
      </rPr>
      <t xml:space="preserve">Les actions </t>
    </r>
    <r>
      <rPr>
        <sz val="11"/>
        <color rgb="FF000000"/>
        <rFont val="Marianne;Marianne"/>
        <family val="2"/>
        <charset val="1"/>
      </rPr>
      <t xml:space="preserve">d’administration sur les SI sont effectuées au moyen d’un système d’information d’administration (SIA). </t>
    </r>
  </si>
  <si>
    <t>Nombre de SIR gérés au moyen d’un SIA</t>
  </si>
  <si>
    <t>R4_1_2</t>
  </si>
  <si>
    <t>R4_1_3</t>
  </si>
  <si>
    <t>R4_1_4</t>
  </si>
  <si>
    <t>R4_1_5</t>
  </si>
  <si>
    <t>R4_1_6</t>
  </si>
  <si>
    <t>R4_1_7</t>
  </si>
  <si>
    <t>R4_1_8</t>
  </si>
  <si>
    <t>R4_1_9</t>
  </si>
  <si>
    <t>R4_1_10</t>
  </si>
  <si>
    <t>R4_1_11</t>
  </si>
  <si>
    <t>R4_1_12</t>
  </si>
  <si>
    <t>Note R4_1</t>
  </si>
  <si>
    <t>R4_2_1</t>
  </si>
  <si>
    <t xml:space="preserve">Les SIA sont connectés aux ressources du SI à administrer au travers d'une liaison réseau physique utilisée exclusivement pour les actions d'administration. </t>
  </si>
  <si>
    <t>Nombre de SIR connectés au SIA via une liaison physique</t>
  </si>
  <si>
    <t>R4_2_2</t>
  </si>
  <si>
    <t>R4_2_3</t>
  </si>
  <si>
    <t>R4_2_4</t>
  </si>
  <si>
    <t>R4_2_5</t>
  </si>
  <si>
    <t>R4_2_6</t>
  </si>
  <si>
    <t>R4_2_7</t>
  </si>
  <si>
    <t>Note R4_2</t>
  </si>
  <si>
    <t>4_3 Supervision de la sécurité – 16</t>
  </si>
  <si>
    <t>R4_3_1</t>
  </si>
  <si>
    <r>
      <rPr>
        <sz val="11"/>
        <color rgb="FF000000"/>
        <rFont val="Marianne;Marianne"/>
        <family val="2"/>
        <charset val="1"/>
      </rPr>
      <t xml:space="preserve">L’entité essentielle élabore, tient à jour et met en oeuvre, conformément à sa politique de </t>
    </r>
    <r>
      <rPr>
        <sz val="11"/>
        <color rgb="FF000000"/>
        <rFont val="Calibri"/>
        <family val="2"/>
        <charset val="1"/>
        <scheme val="minor"/>
      </rPr>
      <t>sécurité des systèmes d'information, une procédure de détection des incidents de sécurité</t>
    </r>
  </si>
  <si>
    <t>0 ou 4</t>
  </si>
  <si>
    <t>Nom du document décrivant la procédure de détection des incidents :</t>
  </si>
  <si>
    <t>R4_3_2</t>
  </si>
  <si>
    <t>R4_3_3</t>
  </si>
  <si>
    <t>R4_3_4</t>
  </si>
  <si>
    <t>Note R4_3</t>
  </si>
  <si>
    <t>R4_4_1</t>
  </si>
  <si>
    <t>R4_4_2</t>
  </si>
  <si>
    <t>R4_4_3</t>
  </si>
  <si>
    <t>R4_4_4</t>
  </si>
  <si>
    <t>R4_4_5</t>
  </si>
  <si>
    <t>R4_4_6</t>
  </si>
  <si>
    <t>R4_4_7</t>
  </si>
  <si>
    <t>R4_4_8</t>
  </si>
  <si>
    <t>R4_4_9</t>
  </si>
  <si>
    <t>R4_4_10</t>
  </si>
  <si>
    <t>R4_4_11</t>
  </si>
  <si>
    <t>R4_4_12</t>
  </si>
  <si>
    <t>R4_4_13</t>
  </si>
  <si>
    <t>R4_4_14</t>
  </si>
  <si>
    <t>R4_4_15</t>
  </si>
  <si>
    <t>R4_4_16</t>
  </si>
  <si>
    <t>R4_4_17</t>
  </si>
  <si>
    <t>R4_4_18</t>
  </si>
  <si>
    <t>R4_4_19</t>
  </si>
  <si>
    <t>R4_4_20</t>
  </si>
  <si>
    <t>R4_4_21</t>
  </si>
  <si>
    <t>Note R4_4</t>
  </si>
  <si>
    <r>
      <rPr>
        <b/>
        <sz val="11"/>
        <color theme="1"/>
        <rFont val="Calibri"/>
        <family val="2"/>
        <charset val="1"/>
      </rPr>
      <t xml:space="preserve">4_5 Capacité de réaction aux </t>
    </r>
    <r>
      <rPr>
        <b/>
        <u/>
        <sz val="11"/>
        <color theme="1"/>
        <rFont val="Calibri"/>
        <family val="2"/>
        <charset val="1"/>
      </rPr>
      <t>incidents</t>
    </r>
    <r>
      <rPr>
        <b/>
        <sz val="11"/>
        <color theme="1"/>
        <rFont val="Calibri"/>
        <family val="2"/>
        <charset val="1"/>
      </rPr>
      <t xml:space="preserve"> – 17</t>
    </r>
  </si>
  <si>
    <t>R4_5_1</t>
  </si>
  <si>
    <r>
      <rPr>
        <sz val="11"/>
        <color rgb="FF000000"/>
        <rFont val="Marianne;Marianne"/>
        <family val="2"/>
        <charset val="1"/>
      </rPr>
      <t xml:space="preserve">Le dirigeant exécutif de l’entité désigne un ou plusieurs points de contact sur les sujets relatifs </t>
    </r>
    <r>
      <rPr>
        <sz val="11"/>
        <color rgb="FF000000"/>
        <rFont val="Calibri"/>
        <family val="2"/>
        <charset val="1"/>
        <scheme val="minor"/>
      </rPr>
      <t>à la sécurité numérique.</t>
    </r>
  </si>
  <si>
    <t>Nom du document référençant ces points de contacts :</t>
  </si>
  <si>
    <t>R4_5_2</t>
  </si>
  <si>
    <t>R4_5_3</t>
  </si>
  <si>
    <t>R4_5_4</t>
  </si>
  <si>
    <t>R4_5_5</t>
  </si>
  <si>
    <t>R4_5_6</t>
  </si>
  <si>
    <t>R4_5_7</t>
  </si>
  <si>
    <t>R4_5_8</t>
  </si>
  <si>
    <t>R4_5_9</t>
  </si>
  <si>
    <t>R4_5_10</t>
  </si>
  <si>
    <t>R4_5_11</t>
  </si>
  <si>
    <t>R4_5_12</t>
  </si>
  <si>
    <t>R4_5_13</t>
  </si>
  <si>
    <t>R4_5_14</t>
  </si>
  <si>
    <t>R4_5_15</t>
  </si>
  <si>
    <t>R4_5_16</t>
  </si>
  <si>
    <t>R4_5_17</t>
  </si>
  <si>
    <t>Note R4_5</t>
  </si>
  <si>
    <r>
      <rPr>
        <b/>
        <sz val="11"/>
        <color theme="1"/>
        <rFont val="Calibri"/>
        <family val="2"/>
        <charset val="1"/>
      </rPr>
      <t xml:space="preserve">5_1 Capacité de réaction aux </t>
    </r>
    <r>
      <rPr>
        <b/>
        <u/>
        <sz val="11"/>
        <color theme="1"/>
        <rFont val="Calibri"/>
        <family val="2"/>
        <charset val="1"/>
      </rPr>
      <t>crises – 19</t>
    </r>
  </si>
  <si>
    <t>R5_1_1</t>
  </si>
  <si>
    <r>
      <rPr>
        <sz val="11"/>
        <color rgb="FF000000"/>
        <rFont val="Calibri"/>
        <family val="2"/>
        <charset val="1"/>
        <scheme val="minor"/>
      </rPr>
      <t>L</t>
    </r>
    <r>
      <rPr>
        <sz val="11"/>
        <color rgb="FF000000"/>
        <rFont val="Marianne;Marianne"/>
        <family val="2"/>
        <charset val="1"/>
      </rPr>
      <t xml:space="preserve">’entité s’assure de la définition, du maintien à jour et de la mise en oeuvre d’une procédure de gestion de crises </t>
    </r>
  </si>
  <si>
    <t>Nom du document de procédure :</t>
  </si>
  <si>
    <t>R5_1_2</t>
  </si>
  <si>
    <t>R5_1_3</t>
  </si>
  <si>
    <t>R5_1_4</t>
  </si>
  <si>
    <t>R5_1_5</t>
  </si>
  <si>
    <t>R5_1_6</t>
  </si>
  <si>
    <t>R5_1_7</t>
  </si>
  <si>
    <t>R5_1_8</t>
  </si>
  <si>
    <t>R5_1_9</t>
  </si>
  <si>
    <t>R5_1_10</t>
  </si>
  <si>
    <t>R5_1_11</t>
  </si>
  <si>
    <t>R5_1_12</t>
  </si>
  <si>
    <t>Note R5_1</t>
  </si>
  <si>
    <t>5_2 Capacité de continuité – 18</t>
  </si>
  <si>
    <t>R5_2_1</t>
  </si>
  <si>
    <r>
      <rPr>
        <sz val="11"/>
        <color rgb="FF000000"/>
        <rFont val="Marianne;Marianne"/>
        <family val="2"/>
        <charset val="1"/>
      </rPr>
      <t xml:space="preserve">L’entité, pour chacun de ses activités et services, définit et documente la durée maximale d’interruption admissible (DMIA) et la perte de données maximale </t>
    </r>
    <r>
      <rPr>
        <sz val="11"/>
        <color rgb="FF000000"/>
        <rFont val="Calibri"/>
        <family val="2"/>
        <charset val="1"/>
        <scheme val="minor"/>
      </rPr>
      <t xml:space="preserve">admissible (PDMA). </t>
    </r>
  </si>
  <si>
    <t>R5_2_2</t>
  </si>
  <si>
    <r>
      <rPr>
        <sz val="11"/>
        <color rgb="FF000000"/>
        <rFont val="Marianne;Marianne"/>
        <family val="2"/>
        <charset val="1"/>
      </rPr>
      <t xml:space="preserve">L’entité définit et met en oeuvre un plan de continuité d’activité (PCA) adapté aux scénarios de crises d’origine cyber </t>
    </r>
    <r>
      <rPr>
        <sz val="11"/>
        <color rgb="FF000000"/>
        <rFont val="Calibri"/>
        <family val="2"/>
        <charset val="1"/>
        <scheme val="minor"/>
      </rPr>
      <t xml:space="preserve">et cohérent avec la durée </t>
    </r>
    <r>
      <rPr>
        <sz val="11"/>
        <color rgb="FF000000"/>
        <rFont val="Marianne;Marianne"/>
        <family val="2"/>
        <charset val="1"/>
      </rPr>
      <t>maximale d’interruption admissible et l</t>
    </r>
    <r>
      <rPr>
        <sz val="11"/>
        <color rgb="FF000000"/>
        <rFont val="Calibri"/>
        <family val="2"/>
        <charset val="1"/>
        <scheme val="minor"/>
      </rPr>
      <t xml:space="preserve">a perte de données maximale admissible. </t>
    </r>
  </si>
  <si>
    <t>R5_2_3</t>
  </si>
  <si>
    <r>
      <rPr>
        <sz val="11"/>
        <color rgb="FF000000"/>
        <rFont val="Marianne;Marianne"/>
        <family val="2"/>
        <charset val="1"/>
      </rPr>
      <t xml:space="preserve">L’identification de ces mesures de continuité s’appuie notamment </t>
    </r>
    <r>
      <rPr>
        <sz val="11"/>
        <color rgb="FF000000"/>
        <rFont val="Calibri"/>
        <family val="2"/>
        <charset val="1"/>
        <scheme val="minor"/>
      </rPr>
      <t xml:space="preserve">: 
• Sur </t>
    </r>
    <r>
      <rPr>
        <sz val="11"/>
        <color rgb="FF000000"/>
        <rFont val="Marianne;Marianne"/>
        <family val="2"/>
        <charset val="1"/>
      </rPr>
      <t xml:space="preserve">la cartographie de l’écosystème (cf. </t>
    </r>
    <r>
      <rPr>
        <sz val="11"/>
        <color rgb="FF000000"/>
        <rFont val="Calibri"/>
        <family val="2"/>
        <charset val="1"/>
        <scheme val="minor"/>
      </rPr>
      <t xml:space="preserve">Objectif de sécurité 4) ; 
• Sur la procédure de gestion des incidents pour détecter et réagir au plus tôt aux incidents ; 
• </t>
    </r>
    <r>
      <rPr>
        <sz val="11"/>
        <color rgb="FF000000"/>
        <rFont val="Marianne;Marianne"/>
        <family val="2"/>
        <charset val="1"/>
      </rPr>
      <t xml:space="preserve">Sur la procédure de gestion des crises d’origine cyber pour permettre la reprise au </t>
    </r>
    <r>
      <rPr>
        <sz val="11"/>
        <color rgb="FF000000"/>
        <rFont val="Calibri"/>
        <family val="2"/>
        <charset val="1"/>
        <scheme val="minor"/>
      </rPr>
      <t xml:space="preserve">plus tôt des services. </t>
    </r>
  </si>
  <si>
    <t>R5_2_4</t>
  </si>
  <si>
    <t>R5_2_5</t>
  </si>
  <si>
    <t>R5_2_6</t>
  </si>
  <si>
    <t>R5_2_7</t>
  </si>
  <si>
    <t>Note R5_2</t>
  </si>
  <si>
    <t>5_3 Capacité de reprise – 18</t>
  </si>
  <si>
    <t>R5_3_1</t>
  </si>
  <si>
    <t xml:space="preserve">L’entité définit et met en oeuvre des procédures de sauvegarde et de restauration de ses systèmes d’information réglementés (SIR) et des données qu’ils manipulent. </t>
  </si>
  <si>
    <t>R5_3_2</t>
  </si>
  <si>
    <r>
      <rPr>
        <sz val="11"/>
        <color rgb="FF000000"/>
        <rFont val="Calibri"/>
        <family val="2"/>
        <charset val="1"/>
        <scheme val="minor"/>
      </rPr>
      <t xml:space="preserve">Les mécanismes de sauvegarde sont dimensionnés pour répondre aux besoins de disponibilité </t>
    </r>
    <r>
      <rPr>
        <sz val="11"/>
        <color rgb="FF000000"/>
        <rFont val="Marianne;Marianne"/>
        <family val="2"/>
        <charset val="1"/>
      </rPr>
      <t xml:space="preserve">associés aux différents services et aux différentes activités fournis par l’entité. </t>
    </r>
  </si>
  <si>
    <t>R5_3_3</t>
  </si>
  <si>
    <r>
      <rPr>
        <sz val="11"/>
        <color rgb="FF000000"/>
        <rFont val="Marianne;Marianne"/>
        <family val="2"/>
        <charset val="1"/>
      </rPr>
      <t xml:space="preserve">L’entité s’assure que le </t>
    </r>
    <r>
      <rPr>
        <sz val="11"/>
        <color rgb="FF000000"/>
        <rFont val="Calibri"/>
        <family val="2"/>
        <charset val="1"/>
        <scheme val="minor"/>
      </rPr>
      <t xml:space="preserve">processus de sauvegardes est testé au minimum une fois par an. Ces tests visent notamment à vérifier la bonne réalisation des sauvegardes et leur bonne restauration. </t>
    </r>
  </si>
  <si>
    <t>R5_3_4</t>
  </si>
  <si>
    <r>
      <rPr>
        <sz val="11"/>
        <color rgb="FF000000"/>
        <rFont val="Marianne;Marianne"/>
        <family val="2"/>
        <charset val="1"/>
      </rPr>
      <t>Les sauvegardes sont protégées d’un incident les rendant inexploitables (</t>
    </r>
    <r>
      <rPr>
        <i/>
        <sz val="11"/>
        <color rgb="FF000000"/>
        <rFont val="Calibri"/>
        <family val="2"/>
        <charset val="1"/>
        <scheme val="minor"/>
      </rPr>
      <t>par exemple : le stockage hors-ligne pour répondre à un incident de type rançongiciel</t>
    </r>
    <r>
      <rPr>
        <sz val="11"/>
        <color rgb="FF000000"/>
        <rFont val="Calibri"/>
        <family val="2"/>
        <charset val="1"/>
        <scheme val="minor"/>
      </rPr>
      <t xml:space="preserve">). </t>
    </r>
  </si>
  <si>
    <t>R5_3_5</t>
  </si>
  <si>
    <r>
      <rPr>
        <sz val="11"/>
        <color theme="1"/>
        <rFont val="Marianne;Marianne"/>
        <family val="2"/>
        <charset val="1"/>
      </rPr>
      <t xml:space="preserve">L’entité définit et met en oeuvre un plan de reprise d’activité (PRA) adaptés aux scénarios de crises d’origine cyber </t>
    </r>
    <r>
      <rPr>
        <sz val="11"/>
        <color theme="1"/>
        <rFont val="Calibri"/>
        <family val="2"/>
        <charset val="1"/>
        <scheme val="minor"/>
      </rPr>
      <t xml:space="preserve">et cohérent avec la durée </t>
    </r>
    <r>
      <rPr>
        <sz val="11"/>
        <color theme="1"/>
        <rFont val="Marianne;Marianne"/>
        <family val="2"/>
        <charset val="1"/>
      </rPr>
      <t>maximale d’interruption admissible et l</t>
    </r>
    <r>
      <rPr>
        <sz val="11"/>
        <color theme="1"/>
        <rFont val="Calibri"/>
        <family val="2"/>
        <charset val="1"/>
        <scheme val="minor"/>
      </rPr>
      <t xml:space="preserve">a perte de données maximale admissible. </t>
    </r>
  </si>
  <si>
    <t>Note R5_3</t>
  </si>
  <si>
    <t>5_4 Vérification des capacités opérationnelles – 20</t>
  </si>
  <si>
    <t>R5_4_1</t>
  </si>
  <si>
    <t xml:space="preserve">L’entité s’assure de la sensibilisation et de l’entraînement des personnes mobilisables dans le dispositif de gestion des crises d’origine cyber. </t>
  </si>
  <si>
    <t>R5_4_2</t>
  </si>
  <si>
    <t>R5_4_3</t>
  </si>
  <si>
    <t>R5_4_4</t>
  </si>
  <si>
    <t>R5_4_5</t>
  </si>
  <si>
    <t>R5_4_6</t>
  </si>
  <si>
    <t>R5_4_7</t>
  </si>
  <si>
    <t>R5_4_8</t>
  </si>
  <si>
    <t>R5_4_9</t>
  </si>
  <si>
    <t>R5_4_10</t>
  </si>
  <si>
    <t>R5_4_11</t>
  </si>
  <si>
    <t>R5_4_12</t>
  </si>
  <si>
    <t>R5_4_13</t>
  </si>
  <si>
    <t>R5_4_14</t>
  </si>
  <si>
    <t>R5_4_15</t>
  </si>
  <si>
    <t>R5_4_16</t>
  </si>
  <si>
    <t>R5_4_17</t>
  </si>
  <si>
    <t>R5_4_18</t>
  </si>
  <si>
    <t>R5_4_19</t>
  </si>
  <si>
    <t>R5_4_20</t>
  </si>
  <si>
    <t>R5_4_21</t>
  </si>
  <si>
    <t>Note R5_4</t>
  </si>
  <si>
    <t>R5_5_1</t>
  </si>
  <si>
    <t>Plusieurs scénarios de crise potentiels issus de la prise d’information 2_5 sont décrits avec leurs impacts.</t>
  </si>
  <si>
    <t>R5_5_2</t>
  </si>
  <si>
    <t>Les éléments de communication pour ces différents scénarios sont préparés.</t>
  </si>
  <si>
    <t>R5_5_3</t>
  </si>
  <si>
    <t>La capacité de produire ces éléments, même en période de crise, fait partie du PCA et du PRA.</t>
  </si>
  <si>
    <t>R5_5_4</t>
  </si>
  <si>
    <t>Les scénarios sont revus chaque année.</t>
  </si>
  <si>
    <t>R5_5_5</t>
  </si>
  <si>
    <t>R5_5_6</t>
  </si>
  <si>
    <t>R5_5_7</t>
  </si>
  <si>
    <t>R5_5_8</t>
  </si>
  <si>
    <t>R5_5_9</t>
  </si>
  <si>
    <t>R5_5_10</t>
  </si>
  <si>
    <t>R5_5_11</t>
  </si>
  <si>
    <t>R5_5_12</t>
  </si>
  <si>
    <t>R5_5_13</t>
  </si>
  <si>
    <t>R5_5_14</t>
  </si>
  <si>
    <t>R5_5_15</t>
  </si>
  <si>
    <t>R5_5_16</t>
  </si>
  <si>
    <t>R5_5_17</t>
  </si>
  <si>
    <t>Note R5_5</t>
  </si>
  <si>
    <t>Objectif</t>
  </si>
  <si>
    <t>Nb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</si>
</sst>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color theme="1"/>
      <name val="Calibri"/>
      <family val="2"/>
      <charset val="1"/>
    </font>
    <font>
      <b/>
      <u/>
      <sz val="8"/>
      <color theme="1"/>
      <name val="Calibri"/>
      <family val="2"/>
      <charset val="1"/>
    </font>
    <font>
      <sz val="11"/>
      <color rgb="FF000000"/>
      <name val="Calibri"/>
      <family val="2"/>
      <charset val="1"/>
      <scheme val="minor"/>
    </font>
    <font>
      <sz val="11"/>
      <color rgb="FF000000"/>
      <name val="Marianne;Marianne"/>
      <family val="2"/>
      <charset val="1"/>
    </font>
    <font>
      <b/>
      <sz val="11"/>
      <color theme="1"/>
      <name val="Calibri"/>
      <family val="2"/>
      <charset val="1"/>
    </font>
    <font>
      <b/>
      <u/>
      <sz val="11"/>
      <color theme="1"/>
      <name val="Calibri"/>
      <family val="2"/>
      <charset val="1"/>
    </font>
    <font>
      <i/>
      <sz val="11"/>
      <color rgb="FF000000"/>
      <name val="Calibri"/>
      <family val="2"/>
      <charset val="1"/>
      <scheme val="minor"/>
    </font>
    <font>
      <sz val="11"/>
      <color theme="1"/>
      <name val="Marianne;Marianne"/>
      <family val="2"/>
      <charset val="1"/>
    </font>
    <font>
      <sz val="11"/>
      <color theme="1"/>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20" fillId="0" borderId="0" xfId="0" applyFont="1"/>
    <xf numFmtId="0" fontId="26" fillId="0" borderId="0" xfId="0" applyFon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opLeftCell="A2" zoomScaleNormal="100" workbookViewId="0">
      <selection activeCell="F10" sqref="F10"/>
    </sheetView>
  </sheetViews>
  <sheetFormatPr baseColWidth="10" defaultColWidth="24" defaultRowHeight="18.75" customHeight="1"/>
  <sheetData>
    <row r="1" spans="1:6" ht="102.75" customHeight="1">
      <c r="A1" t="s">
        <v>0</v>
      </c>
      <c r="B1">
        <f>'1_Structurer'!E7</f>
        <v>0</v>
      </c>
      <c r="D1">
        <f>'1_Structurer'!E37</f>
        <v>4</v>
      </c>
    </row>
    <row r="2" spans="1:6" ht="14.4">
      <c r="B2" t="s">
        <v>1</v>
      </c>
      <c r="C2" t="s">
        <v>2</v>
      </c>
      <c r="D2" t="s">
        <v>3</v>
      </c>
      <c r="E2" t="s">
        <v>4</v>
      </c>
      <c r="F2" t="s">
        <v>5</v>
      </c>
    </row>
    <row r="3" spans="1:6" ht="102.75" customHeight="1">
      <c r="A3" t="s">
        <v>6</v>
      </c>
    </row>
    <row r="4" spans="1:6" ht="14.4">
      <c r="B4" t="s">
        <v>7</v>
      </c>
      <c r="C4" t="s">
        <v>8</v>
      </c>
      <c r="D4" t="s">
        <v>9</v>
      </c>
      <c r="E4" t="s">
        <v>10</v>
      </c>
      <c r="F4" t="s">
        <v>11</v>
      </c>
    </row>
    <row r="5" spans="1:6" ht="102.75" customHeight="1">
      <c r="A5" t="s">
        <v>12</v>
      </c>
    </row>
    <row r="6" spans="1:6" ht="24" customHeight="1">
      <c r="B6" t="s">
        <v>13</v>
      </c>
      <c r="C6" t="s">
        <v>14</v>
      </c>
      <c r="D6" t="s">
        <v>15</v>
      </c>
      <c r="E6" t="s">
        <v>16</v>
      </c>
      <c r="F6" t="s">
        <v>17</v>
      </c>
    </row>
    <row r="7" spans="1:6" ht="102.75" customHeight="1">
      <c r="A7" t="s">
        <v>18</v>
      </c>
    </row>
    <row r="8" spans="1:6" ht="14.4">
      <c r="B8" t="s">
        <v>19</v>
      </c>
      <c r="C8" t="s">
        <v>20</v>
      </c>
      <c r="D8" t="s">
        <v>21</v>
      </c>
      <c r="E8" t="s">
        <v>22</v>
      </c>
      <c r="F8" t="s">
        <v>23</v>
      </c>
    </row>
    <row r="9" spans="1:6" ht="102.75" customHeight="1">
      <c r="A9" t="s">
        <v>24</v>
      </c>
    </row>
    <row r="10" spans="1:6" ht="14.4">
      <c r="B10" t="s">
        <v>25</v>
      </c>
      <c r="C10" t="s">
        <v>26</v>
      </c>
      <c r="D10" t="s">
        <v>27</v>
      </c>
      <c r="E10" t="s">
        <v>28</v>
      </c>
      <c r="F10" t="s">
        <v>29</v>
      </c>
    </row>
  </sheetData>
  <conditionalFormatting sqref="B1">
    <cfRule type="colorScale" priority="3">
      <colorScale>
        <cfvo type="num" val="0"/>
        <cfvo type="num" val="10"/>
        <color rgb="FFFF0000"/>
        <color rgb="FF00B050"/>
      </colorScale>
    </cfRule>
  </conditionalFormatting>
  <conditionalFormatting sqref="D1">
    <cfRule type="colorScale" priority="2">
      <colorScale>
        <cfvo type="num" val="0"/>
        <cfvo type="num" val="10"/>
        <color rgb="FFFF0000"/>
        <color rgb="FF00B050"/>
      </colorScale>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4"/>
  <sheetViews>
    <sheetView topLeftCell="B20" zoomScale="87" zoomScaleNormal="100" workbookViewId="0">
      <selection activeCell="B52" sqref="B52"/>
    </sheetView>
  </sheetViews>
  <sheetFormatPr baseColWidth="10" defaultColWidth="10.6640625" defaultRowHeight="15" customHeight="1"/>
  <cols>
    <col min="1" max="1" width="10" customWidth="1"/>
    <col min="2" max="2" width="101.6640625" customWidth="1"/>
    <col min="3" max="3" width="2.5546875" customWidth="1"/>
    <col min="4" max="4" width="10.44140625" customWidth="1"/>
    <col min="5" max="5" width="8.44140625" customWidth="1"/>
    <col min="6" max="6" width="7.5546875" customWidth="1"/>
    <col min="7" max="7" width="13" customWidth="1"/>
    <col min="8" max="8" width="47.44140625" customWidth="1"/>
    <col min="9" max="9" width="37.5546875" customWidth="1"/>
    <col min="10" max="10" width="22.44140625" customWidth="1"/>
  </cols>
  <sheetData>
    <row r="1" spans="1:10" ht="14.4">
      <c r="B1" t="s">
        <v>30</v>
      </c>
      <c r="C1" t="s">
        <v>31</v>
      </c>
      <c r="D1" t="s">
        <v>32</v>
      </c>
      <c r="E1" t="s">
        <v>33</v>
      </c>
      <c r="F1" t="s">
        <v>34</v>
      </c>
      <c r="G1" t="s">
        <v>35</v>
      </c>
      <c r="H1" t="s">
        <v>36</v>
      </c>
      <c r="I1" t="s">
        <v>37</v>
      </c>
    </row>
    <row r="2" spans="1:10" ht="14.4">
      <c r="A2" t="s">
        <v>38</v>
      </c>
      <c r="B2" t="s">
        <v>39</v>
      </c>
      <c r="C2" t="s">
        <v>40</v>
      </c>
      <c r="D2" t="s">
        <v>40</v>
      </c>
      <c r="F2" t="s">
        <v>41</v>
      </c>
      <c r="H2" t="s">
        <v>42</v>
      </c>
      <c r="I2" t="s">
        <v>43</v>
      </c>
    </row>
    <row r="3" spans="1:10" ht="14.4">
      <c r="A3" t="s">
        <v>44</v>
      </c>
      <c r="B3" t="s">
        <v>45</v>
      </c>
      <c r="C3" t="s">
        <v>40</v>
      </c>
      <c r="D3" t="s">
        <v>40</v>
      </c>
      <c r="H3" t="s">
        <v>46</v>
      </c>
    </row>
    <row r="4" spans="1:10" ht="14.4">
      <c r="A4" t="s">
        <v>47</v>
      </c>
      <c r="B4" t="s">
        <v>48</v>
      </c>
      <c r="C4" t="s">
        <v>40</v>
      </c>
      <c r="D4" t="s">
        <v>49</v>
      </c>
      <c r="F4" t="s">
        <v>41</v>
      </c>
      <c r="G4" t="s">
        <v>50</v>
      </c>
      <c r="H4" t="s">
        <v>51</v>
      </c>
    </row>
    <row r="5" spans="1:10" ht="14.4">
      <c r="A5" t="s">
        <v>52</v>
      </c>
      <c r="B5" t="s">
        <v>53</v>
      </c>
      <c r="C5" t="s">
        <v>40</v>
      </c>
      <c r="D5" t="s">
        <v>49</v>
      </c>
      <c r="F5" t="s">
        <v>41</v>
      </c>
      <c r="G5" t="s">
        <v>50</v>
      </c>
      <c r="H5" t="s">
        <v>54</v>
      </c>
      <c r="J5" t="s">
        <v>55</v>
      </c>
    </row>
    <row r="6" spans="1:10" ht="14.4"/>
    <row r="7" spans="1:10" ht="14.4">
      <c r="A7" t="s">
        <v>56</v>
      </c>
      <c r="E7">
        <f>MIN(E2:E5)</f>
        <v>0</v>
      </c>
    </row>
    <row r="9" spans="1:10" ht="14.4">
      <c r="B9" t="s">
        <v>57</v>
      </c>
      <c r="C9" t="s">
        <v>31</v>
      </c>
      <c r="D9" t="s">
        <v>32</v>
      </c>
      <c r="E9" t="s">
        <v>33</v>
      </c>
      <c r="F9" t="s">
        <v>34</v>
      </c>
      <c r="G9" t="s">
        <v>35</v>
      </c>
    </row>
    <row r="10" spans="1:10" ht="14.4">
      <c r="A10" t="s">
        <v>58</v>
      </c>
      <c r="B10" t="s">
        <v>59</v>
      </c>
      <c r="F10" t="s">
        <v>41</v>
      </c>
      <c r="H10" t="s">
        <v>60</v>
      </c>
    </row>
    <row r="11" spans="1:10" ht="14.4">
      <c r="A11" t="s">
        <v>61</v>
      </c>
      <c r="B11" t="s">
        <v>62</v>
      </c>
      <c r="F11" t="s">
        <v>41</v>
      </c>
      <c r="H11" t="s">
        <v>63</v>
      </c>
    </row>
    <row r="12" spans="1:10" ht="14.4">
      <c r="A12" t="s">
        <v>64</v>
      </c>
      <c r="B12" t="s">
        <v>65</v>
      </c>
      <c r="F12" t="s">
        <v>41</v>
      </c>
      <c r="H12" t="s">
        <v>66</v>
      </c>
    </row>
    <row r="13" spans="1:10" ht="14.4">
      <c r="A13" t="s">
        <v>67</v>
      </c>
      <c r="B13" t="s">
        <v>68</v>
      </c>
      <c r="F13" t="s">
        <v>41</v>
      </c>
      <c r="H13" t="s">
        <v>69</v>
      </c>
    </row>
    <row r="14" spans="1:10" ht="14.4">
      <c r="A14" t="s">
        <v>70</v>
      </c>
      <c r="B14" t="s">
        <v>71</v>
      </c>
      <c r="F14" t="s">
        <v>41</v>
      </c>
      <c r="H14" t="s">
        <v>72</v>
      </c>
    </row>
    <row r="15" spans="1:10" ht="14.4">
      <c r="A15" t="s">
        <v>73</v>
      </c>
      <c r="B15" t="s">
        <v>74</v>
      </c>
      <c r="F15" t="s">
        <v>41</v>
      </c>
      <c r="H15" t="s">
        <v>72</v>
      </c>
    </row>
    <row r="16" spans="1:10" ht="14.4">
      <c r="A16" t="s">
        <v>75</v>
      </c>
      <c r="B16" t="s">
        <v>76</v>
      </c>
      <c r="F16" t="s">
        <v>41</v>
      </c>
      <c r="H16" t="s">
        <v>77</v>
      </c>
    </row>
    <row r="17" spans="1:10" ht="14.4">
      <c r="A17" t="s">
        <v>78</v>
      </c>
      <c r="B17" t="s">
        <v>79</v>
      </c>
      <c r="F17" t="s">
        <v>41</v>
      </c>
      <c r="H17" t="s">
        <v>80</v>
      </c>
      <c r="J17" t="s">
        <v>55</v>
      </c>
    </row>
    <row r="18" spans="1:10" ht="14.4">
      <c r="A18" t="s">
        <v>81</v>
      </c>
      <c r="B18" t="s">
        <v>82</v>
      </c>
      <c r="F18" t="s">
        <v>83</v>
      </c>
      <c r="H18" t="s">
        <v>84</v>
      </c>
      <c r="I18" t="s">
        <v>85</v>
      </c>
    </row>
    <row r="19" spans="1:10" ht="14.4">
      <c r="A19" t="s">
        <v>86</v>
      </c>
      <c r="B19" t="s">
        <v>87</v>
      </c>
      <c r="F19" t="s">
        <v>83</v>
      </c>
      <c r="H19" t="s">
        <v>88</v>
      </c>
      <c r="I19" t="s">
        <v>89</v>
      </c>
    </row>
    <row r="20" spans="1:10" ht="14.4">
      <c r="A20" t="s">
        <v>90</v>
      </c>
      <c r="B20" t="s">
        <v>91</v>
      </c>
      <c r="F20" t="s">
        <v>83</v>
      </c>
      <c r="H20" t="s">
        <v>92</v>
      </c>
      <c r="I20" t="s">
        <v>93</v>
      </c>
    </row>
    <row r="21" spans="1:10" ht="14.4">
      <c r="A21" t="s">
        <v>94</v>
      </c>
      <c r="B21" t="s">
        <v>95</v>
      </c>
      <c r="F21" t="s">
        <v>41</v>
      </c>
      <c r="H21" t="s">
        <v>96</v>
      </c>
    </row>
    <row r="22" spans="1:10" ht="14.4">
      <c r="A22" t="s">
        <v>97</v>
      </c>
      <c r="B22" t="s">
        <v>98</v>
      </c>
      <c r="F22" t="s">
        <v>41</v>
      </c>
      <c r="H22" t="s">
        <v>99</v>
      </c>
    </row>
    <row r="23" spans="1:10" ht="14.4">
      <c r="A23" t="s">
        <v>100</v>
      </c>
      <c r="B23" t="s">
        <v>101</v>
      </c>
      <c r="F23" t="s">
        <v>83</v>
      </c>
      <c r="H23" t="s">
        <v>102</v>
      </c>
      <c r="J23" t="s">
        <v>103</v>
      </c>
    </row>
    <row r="24" spans="1:10" ht="14.4">
      <c r="A24" t="s">
        <v>104</v>
      </c>
      <c r="B24" t="s">
        <v>105</v>
      </c>
      <c r="D24" t="s">
        <v>40</v>
      </c>
      <c r="H24" t="s">
        <v>106</v>
      </c>
    </row>
    <row r="25" spans="1:10" ht="14.4">
      <c r="A25" t="s">
        <v>107</v>
      </c>
      <c r="B25" t="s">
        <v>108</v>
      </c>
      <c r="D25" t="s">
        <v>49</v>
      </c>
      <c r="F25" t="s">
        <v>83</v>
      </c>
      <c r="H25" t="s">
        <v>109</v>
      </c>
    </row>
    <row r="26" spans="1:10" ht="14.4">
      <c r="A26" t="s">
        <v>110</v>
      </c>
      <c r="B26" t="s">
        <v>111</v>
      </c>
      <c r="F26" t="s">
        <v>41</v>
      </c>
      <c r="H26" t="s">
        <v>112</v>
      </c>
    </row>
    <row r="27" spans="1:10" ht="14.4"/>
    <row r="28" spans="1:10" ht="14.4">
      <c r="A28" t="s">
        <v>113</v>
      </c>
    </row>
    <row r="29" spans="1:10" ht="14.4"/>
    <row r="30" spans="1:10" ht="14.4">
      <c r="B30" t="s">
        <v>114</v>
      </c>
      <c r="C30" t="s">
        <v>31</v>
      </c>
      <c r="D30" t="s">
        <v>32</v>
      </c>
      <c r="E30" t="s">
        <v>33</v>
      </c>
      <c r="F30" t="s">
        <v>34</v>
      </c>
      <c r="G30" t="s">
        <v>35</v>
      </c>
    </row>
    <row r="31" spans="1:10" ht="14.4">
      <c r="A31" t="s">
        <v>115</v>
      </c>
      <c r="B31" t="s">
        <v>116</v>
      </c>
      <c r="E31">
        <v>10</v>
      </c>
      <c r="F31" t="s">
        <v>41</v>
      </c>
      <c r="H31" t="s">
        <v>117</v>
      </c>
    </row>
    <row r="32" spans="1:10" ht="14.4">
      <c r="A32" t="s">
        <v>118</v>
      </c>
      <c r="B32" t="s">
        <v>119</v>
      </c>
      <c r="E32">
        <v>9</v>
      </c>
      <c r="F32" t="s">
        <v>83</v>
      </c>
      <c r="H32" t="s">
        <v>120</v>
      </c>
    </row>
    <row r="33" spans="1:10" ht="14.4">
      <c r="A33" t="s">
        <v>121</v>
      </c>
      <c r="B33" t="s">
        <v>122</v>
      </c>
      <c r="E33">
        <v>10</v>
      </c>
      <c r="F33" t="s">
        <v>83</v>
      </c>
      <c r="H33" t="s">
        <v>123</v>
      </c>
    </row>
    <row r="34" spans="1:10" ht="14.4">
      <c r="A34" t="s">
        <v>124</v>
      </c>
      <c r="B34" t="s">
        <v>125</v>
      </c>
      <c r="E34">
        <v>4</v>
      </c>
      <c r="F34" t="s">
        <v>83</v>
      </c>
      <c r="H34" t="s">
        <v>126</v>
      </c>
    </row>
    <row r="35" spans="1:10" ht="14.4">
      <c r="A35" t="s">
        <v>127</v>
      </c>
      <c r="B35" t="s">
        <v>128</v>
      </c>
      <c r="E35">
        <v>10</v>
      </c>
      <c r="F35" t="s">
        <v>41</v>
      </c>
      <c r="H35" t="s">
        <v>129</v>
      </c>
    </row>
    <row r="36" spans="1:10" ht="14.4"/>
    <row r="37" spans="1:10" ht="14.4">
      <c r="A37" t="s">
        <v>130</v>
      </c>
      <c r="E37">
        <f>MIN(E31:E35)</f>
        <v>4</v>
      </c>
    </row>
    <row r="39" spans="1:10" ht="14.4">
      <c r="B39" t="s">
        <v>131</v>
      </c>
      <c r="C39" t="s">
        <v>31</v>
      </c>
      <c r="D39" t="s">
        <v>32</v>
      </c>
      <c r="E39" t="s">
        <v>33</v>
      </c>
      <c r="F39" t="s">
        <v>34</v>
      </c>
      <c r="G39" t="s">
        <v>35</v>
      </c>
    </row>
    <row r="40" spans="1:10" ht="14.4">
      <c r="A40" t="s">
        <v>132</v>
      </c>
      <c r="B40" t="s">
        <v>133</v>
      </c>
      <c r="D40" t="s">
        <v>40</v>
      </c>
      <c r="F40" t="s">
        <v>41</v>
      </c>
      <c r="H40" t="s">
        <v>134</v>
      </c>
    </row>
    <row r="41" spans="1:10" ht="14.4">
      <c r="A41" t="s">
        <v>135</v>
      </c>
      <c r="B41" t="s">
        <v>136</v>
      </c>
      <c r="D41" t="s">
        <v>40</v>
      </c>
      <c r="F41" t="s">
        <v>83</v>
      </c>
      <c r="H41" t="s">
        <v>137</v>
      </c>
      <c r="I41" t="s">
        <v>138</v>
      </c>
    </row>
    <row r="42" spans="1:10" ht="14.4">
      <c r="A42" t="s">
        <v>139</v>
      </c>
      <c r="B42" t="s">
        <v>140</v>
      </c>
      <c r="D42" t="s">
        <v>40</v>
      </c>
      <c r="H42" t="s">
        <v>141</v>
      </c>
    </row>
    <row r="43" spans="1:10" ht="14.4">
      <c r="A43" t="s">
        <v>142</v>
      </c>
      <c r="B43" t="s">
        <v>143</v>
      </c>
      <c r="D43" t="s">
        <v>49</v>
      </c>
      <c r="F43" t="s">
        <v>83</v>
      </c>
      <c r="H43" t="s">
        <v>144</v>
      </c>
      <c r="I43" t="s">
        <v>145</v>
      </c>
    </row>
    <row r="44" spans="1:10" ht="14.4"/>
    <row r="45" spans="1:10" ht="14.4">
      <c r="A45" t="s">
        <v>146</v>
      </c>
    </row>
    <row r="47" spans="1:10" ht="14.4">
      <c r="B47" t="s">
        <v>147</v>
      </c>
      <c r="C47" t="s">
        <v>31</v>
      </c>
      <c r="D47" t="s">
        <v>32</v>
      </c>
      <c r="E47" t="s">
        <v>33</v>
      </c>
      <c r="F47" t="s">
        <v>34</v>
      </c>
      <c r="G47" t="s">
        <v>35</v>
      </c>
    </row>
    <row r="48" spans="1:10" ht="14.4">
      <c r="A48" t="s">
        <v>148</v>
      </c>
      <c r="B48" t="s">
        <v>149</v>
      </c>
      <c r="F48" t="s">
        <v>83</v>
      </c>
      <c r="J48" t="s">
        <v>151</v>
      </c>
    </row>
    <row r="49" spans="1:8" ht="14.4">
      <c r="A49" t="s">
        <v>152</v>
      </c>
      <c r="B49" t="s">
        <v>153</v>
      </c>
      <c r="F49" t="s">
        <v>41</v>
      </c>
      <c r="H49" t="s">
        <v>150</v>
      </c>
    </row>
    <row r="50" spans="1:8" ht="14.4">
      <c r="A50" t="s">
        <v>154</v>
      </c>
      <c r="B50" t="s">
        <v>155</v>
      </c>
      <c r="F50" t="s">
        <v>83</v>
      </c>
    </row>
    <row r="51" spans="1:8" ht="14.4">
      <c r="A51" t="s">
        <v>156</v>
      </c>
      <c r="B51" t="s">
        <v>157</v>
      </c>
      <c r="F51" t="s">
        <v>83</v>
      </c>
    </row>
    <row r="52" spans="1:8" ht="14.4">
      <c r="A52" t="s">
        <v>158</v>
      </c>
      <c r="B52" t="s">
        <v>159</v>
      </c>
      <c r="F52" t="s">
        <v>41</v>
      </c>
    </row>
    <row r="53" spans="1:8" ht="14.4"/>
    <row r="54" spans="1:8" ht="14.4">
      <c r="A54" t="s">
        <v>160</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topLeftCell="A39" zoomScale="94" zoomScaleNormal="100" workbookViewId="0">
      <selection activeCell="H47" sqref="H47"/>
    </sheetView>
  </sheetViews>
  <sheetFormatPr baseColWidth="10" defaultColWidth="10.6640625" defaultRowHeight="15" customHeight="1"/>
  <cols>
    <col min="1" max="1" width="10" customWidth="1"/>
    <col min="2" max="2" width="96.5546875" customWidth="1"/>
    <col min="3" max="3" width="2.5546875" customWidth="1"/>
    <col min="4" max="4" width="12" customWidth="1"/>
    <col min="5" max="5" width="8.44140625" customWidth="1"/>
    <col min="6" max="6" width="7.5546875" customWidth="1"/>
    <col min="7" max="7" width="24.88671875" customWidth="1"/>
    <col min="8" max="9" width="34.33203125" customWidth="1"/>
  </cols>
  <sheetData>
    <row r="1" spans="1:9" ht="14.4">
      <c r="B1" t="s">
        <v>161</v>
      </c>
      <c r="C1" t="s">
        <v>31</v>
      </c>
      <c r="D1" t="s">
        <v>32</v>
      </c>
      <c r="E1" t="s">
        <v>33</v>
      </c>
      <c r="F1" t="s">
        <v>34</v>
      </c>
      <c r="G1" t="s">
        <v>35</v>
      </c>
      <c r="H1" t="s">
        <v>36</v>
      </c>
      <c r="I1" t="s">
        <v>37</v>
      </c>
    </row>
    <row r="2" spans="1:9" ht="14.4">
      <c r="A2" t="s">
        <v>162</v>
      </c>
      <c r="B2" t="s">
        <v>163</v>
      </c>
      <c r="C2" t="s">
        <v>40</v>
      </c>
      <c r="F2" t="s">
        <v>41</v>
      </c>
      <c r="H2" t="s">
        <v>164</v>
      </c>
    </row>
    <row r="3" spans="1:9" ht="14.4">
      <c r="A3" t="s">
        <v>165</v>
      </c>
      <c r="B3" t="s">
        <v>166</v>
      </c>
      <c r="C3" t="s">
        <v>40</v>
      </c>
      <c r="F3" t="s">
        <v>83</v>
      </c>
      <c r="H3" t="s">
        <v>167</v>
      </c>
      <c r="I3" t="s">
        <v>168</v>
      </c>
    </row>
    <row r="4" spans="1:9" ht="14.4">
      <c r="A4" t="s">
        <v>169</v>
      </c>
      <c r="B4" t="s">
        <v>170</v>
      </c>
      <c r="C4" t="s">
        <v>171</v>
      </c>
      <c r="F4" t="s">
        <v>41</v>
      </c>
    </row>
    <row r="5" spans="1:9" ht="14.4">
      <c r="A5" t="s">
        <v>172</v>
      </c>
      <c r="B5" t="s">
        <v>173</v>
      </c>
      <c r="C5" t="s">
        <v>40</v>
      </c>
      <c r="F5" t="s">
        <v>83</v>
      </c>
    </row>
    <row r="6" spans="1:9" ht="14.4">
      <c r="A6" t="s">
        <v>174</v>
      </c>
      <c r="B6" t="s">
        <v>175</v>
      </c>
      <c r="C6" t="s">
        <v>40</v>
      </c>
      <c r="F6" t="s">
        <v>41</v>
      </c>
    </row>
    <row r="7" spans="1:9" ht="14.4"/>
    <row r="8" spans="1:9" ht="14.4">
      <c r="A8" t="s">
        <v>176</v>
      </c>
      <c r="E8">
        <f>MIN(E2:E5)</f>
        <v>0</v>
      </c>
    </row>
    <row r="10" spans="1:9" ht="14.4">
      <c r="B10" t="s">
        <v>177</v>
      </c>
      <c r="C10" t="s">
        <v>31</v>
      </c>
      <c r="D10" t="s">
        <v>32</v>
      </c>
      <c r="E10" t="s">
        <v>33</v>
      </c>
      <c r="F10" t="s">
        <v>34</v>
      </c>
      <c r="G10" t="s">
        <v>35</v>
      </c>
      <c r="H10" t="s">
        <v>36</v>
      </c>
      <c r="I10" t="s">
        <v>37</v>
      </c>
    </row>
    <row r="11" spans="1:9" ht="14.4">
      <c r="A11" t="s">
        <v>178</v>
      </c>
      <c r="B11" t="s">
        <v>179</v>
      </c>
      <c r="C11" t="s">
        <v>40</v>
      </c>
      <c r="F11" t="s">
        <v>83</v>
      </c>
      <c r="H11" t="s">
        <v>180</v>
      </c>
      <c r="I11" t="s">
        <v>181</v>
      </c>
    </row>
    <row r="12" spans="1:9" ht="14.4">
      <c r="A12" t="s">
        <v>182</v>
      </c>
      <c r="B12" t="s">
        <v>183</v>
      </c>
      <c r="C12" t="s">
        <v>171</v>
      </c>
      <c r="F12" t="s">
        <v>83</v>
      </c>
    </row>
    <row r="13" spans="1:9" ht="14.4">
      <c r="A13" t="s">
        <v>184</v>
      </c>
      <c r="B13" t="s">
        <v>185</v>
      </c>
      <c r="C13" t="s">
        <v>171</v>
      </c>
      <c r="F13" t="s">
        <v>83</v>
      </c>
    </row>
    <row r="14" spans="1:9" ht="14.4">
      <c r="A14" t="s">
        <v>186</v>
      </c>
      <c r="B14" t="s">
        <v>187</v>
      </c>
      <c r="C14" t="s">
        <v>171</v>
      </c>
      <c r="F14" t="s">
        <v>41</v>
      </c>
    </row>
    <row r="15" spans="1:9" ht="14.4">
      <c r="A15" t="s">
        <v>188</v>
      </c>
      <c r="B15" t="s">
        <v>189</v>
      </c>
      <c r="C15" t="s">
        <v>40</v>
      </c>
      <c r="F15" t="s">
        <v>41</v>
      </c>
    </row>
    <row r="16" spans="1:9" ht="14.4"/>
    <row r="17" spans="1:9" ht="14.4">
      <c r="A17" t="s">
        <v>190</v>
      </c>
      <c r="E17">
        <f>MIN(E11:E14)</f>
        <v>0</v>
      </c>
    </row>
    <row r="19" spans="1:9" ht="14.4">
      <c r="B19" t="s">
        <v>191</v>
      </c>
      <c r="C19" t="s">
        <v>31</v>
      </c>
      <c r="D19" t="s">
        <v>32</v>
      </c>
      <c r="E19" t="s">
        <v>33</v>
      </c>
      <c r="F19" t="s">
        <v>34</v>
      </c>
      <c r="G19" t="s">
        <v>35</v>
      </c>
      <c r="H19" t="s">
        <v>36</v>
      </c>
      <c r="I19" t="s">
        <v>37</v>
      </c>
    </row>
    <row r="20" spans="1:9" ht="14.4">
      <c r="A20" t="s">
        <v>192</v>
      </c>
      <c r="B20" t="s">
        <v>193</v>
      </c>
      <c r="C20" t="s">
        <v>40</v>
      </c>
      <c r="F20" t="s">
        <v>83</v>
      </c>
      <c r="H20" t="s">
        <v>194</v>
      </c>
    </row>
    <row r="21" spans="1:9" ht="14.4">
      <c r="A21" t="s">
        <v>195</v>
      </c>
      <c r="B21" t="s">
        <v>196</v>
      </c>
      <c r="C21" t="s">
        <v>171</v>
      </c>
      <c r="F21" t="s">
        <v>83</v>
      </c>
    </row>
    <row r="22" spans="1:9" ht="14.4">
      <c r="A22" t="s">
        <v>197</v>
      </c>
      <c r="B22" t="s">
        <v>198</v>
      </c>
      <c r="C22" t="s">
        <v>171</v>
      </c>
      <c r="F22" t="s">
        <v>83</v>
      </c>
    </row>
    <row r="23" spans="1:9" ht="14.4">
      <c r="A23" t="s">
        <v>199</v>
      </c>
      <c r="B23" t="s">
        <v>200</v>
      </c>
      <c r="C23" t="s">
        <v>171</v>
      </c>
      <c r="F23" t="s">
        <v>83</v>
      </c>
    </row>
    <row r="24" spans="1:9" ht="14.4">
      <c r="A24" t="s">
        <v>201</v>
      </c>
      <c r="B24" t="s">
        <v>202</v>
      </c>
      <c r="C24" t="s">
        <v>171</v>
      </c>
      <c r="F24" t="s">
        <v>41</v>
      </c>
    </row>
    <row r="25" spans="1:9" ht="14.4">
      <c r="A25" t="s">
        <v>203</v>
      </c>
      <c r="B25" t="s">
        <v>204</v>
      </c>
      <c r="C25" t="s">
        <v>171</v>
      </c>
      <c r="F25" t="s">
        <v>41</v>
      </c>
    </row>
    <row r="26" spans="1:9" ht="14.4">
      <c r="A26" t="s">
        <v>205</v>
      </c>
      <c r="B26" t="s">
        <v>206</v>
      </c>
      <c r="C26" t="s">
        <v>40</v>
      </c>
      <c r="F26" t="s">
        <v>41</v>
      </c>
    </row>
    <row r="27" spans="1:9" ht="14.4">
      <c r="A27" t="s">
        <v>207</v>
      </c>
      <c r="B27" t="s">
        <v>208</v>
      </c>
      <c r="C27" t="s">
        <v>171</v>
      </c>
      <c r="F27" t="s">
        <v>41</v>
      </c>
    </row>
    <row r="28" spans="1:9" ht="14.4">
      <c r="A28" t="s">
        <v>209</v>
      </c>
      <c r="B28" t="s">
        <v>210</v>
      </c>
      <c r="C28" t="s">
        <v>40</v>
      </c>
      <c r="F28" t="s">
        <v>83</v>
      </c>
    </row>
    <row r="29" spans="1:9" ht="14.4">
      <c r="A29" t="s">
        <v>211</v>
      </c>
      <c r="B29" t="s">
        <v>212</v>
      </c>
      <c r="C29" t="s">
        <v>171</v>
      </c>
      <c r="F29" t="s">
        <v>83</v>
      </c>
    </row>
    <row r="30" spans="1:9" ht="14.4">
      <c r="A30" t="s">
        <v>213</v>
      </c>
      <c r="B30" t="s">
        <v>214</v>
      </c>
      <c r="C30" t="s">
        <v>40</v>
      </c>
      <c r="F30" t="s">
        <v>83</v>
      </c>
    </row>
    <row r="31" spans="1:9" ht="14.4">
      <c r="A31" t="s">
        <v>215</v>
      </c>
      <c r="B31" t="s">
        <v>216</v>
      </c>
      <c r="C31" t="s">
        <v>40</v>
      </c>
      <c r="F31" t="s">
        <v>83</v>
      </c>
    </row>
    <row r="32" spans="1:9" ht="14.4">
      <c r="A32" t="s">
        <v>217</v>
      </c>
      <c r="B32" t="s">
        <v>218</v>
      </c>
      <c r="C32" t="s">
        <v>40</v>
      </c>
      <c r="F32" t="s">
        <v>41</v>
      </c>
    </row>
    <row r="33" spans="1:9" ht="14.4"/>
    <row r="34" spans="1:9" ht="14.4">
      <c r="A34" t="s">
        <v>219</v>
      </c>
    </row>
    <row r="36" spans="1:9" ht="14.4">
      <c r="B36" t="s">
        <v>220</v>
      </c>
      <c r="C36" t="s">
        <v>31</v>
      </c>
      <c r="D36" t="s">
        <v>32</v>
      </c>
      <c r="E36" t="s">
        <v>33</v>
      </c>
      <c r="F36" t="s">
        <v>34</v>
      </c>
      <c r="G36" t="s">
        <v>35</v>
      </c>
      <c r="H36" t="s">
        <v>36</v>
      </c>
      <c r="I36" t="s">
        <v>37</v>
      </c>
    </row>
    <row r="37" spans="1:9" ht="14.4">
      <c r="A37" t="s">
        <v>221</v>
      </c>
      <c r="B37" t="s">
        <v>222</v>
      </c>
      <c r="C37" t="s">
        <v>40</v>
      </c>
      <c r="F37" t="s">
        <v>83</v>
      </c>
      <c r="H37" t="s">
        <v>223</v>
      </c>
    </row>
    <row r="38" spans="1:9" ht="14.4">
      <c r="A38" t="s">
        <v>224</v>
      </c>
      <c r="B38" t="s">
        <v>225</v>
      </c>
      <c r="C38" t="s">
        <v>40</v>
      </c>
    </row>
    <row r="39" spans="1:9" ht="14.4">
      <c r="A39" t="s">
        <v>226</v>
      </c>
      <c r="B39" t="s">
        <v>227</v>
      </c>
      <c r="C39" t="s">
        <v>40</v>
      </c>
      <c r="F39" t="s">
        <v>83</v>
      </c>
    </row>
    <row r="40" spans="1:9" ht="14.4">
      <c r="A40" t="s">
        <v>228</v>
      </c>
      <c r="B40" t="s">
        <v>229</v>
      </c>
      <c r="C40" t="s">
        <v>171</v>
      </c>
      <c r="D40" t="s">
        <v>230</v>
      </c>
      <c r="F40" t="s">
        <v>41</v>
      </c>
      <c r="G40" t="s">
        <v>231</v>
      </c>
    </row>
    <row r="41" spans="1:9" ht="14.4">
      <c r="A41" t="s">
        <v>232</v>
      </c>
      <c r="B41" t="s">
        <v>233</v>
      </c>
      <c r="C41" t="s">
        <v>171</v>
      </c>
      <c r="D41" t="s">
        <v>230</v>
      </c>
      <c r="F41" t="s">
        <v>83</v>
      </c>
    </row>
    <row r="42" spans="1:9" ht="14.4">
      <c r="A42" t="s">
        <v>234</v>
      </c>
      <c r="B42" t="s">
        <v>235</v>
      </c>
      <c r="C42" t="s">
        <v>171</v>
      </c>
      <c r="F42" t="s">
        <v>83</v>
      </c>
    </row>
    <row r="43" spans="1:9" ht="14.4"/>
    <row r="44" spans="1:9" ht="14.4">
      <c r="A44" t="s">
        <v>236</v>
      </c>
      <c r="E44">
        <f>MIN(E37:E41)</f>
        <v>0</v>
      </c>
    </row>
    <row r="46" spans="1:9" ht="14.4">
      <c r="B46" t="s">
        <v>11</v>
      </c>
      <c r="C46" t="s">
        <v>31</v>
      </c>
      <c r="D46" t="s">
        <v>32</v>
      </c>
      <c r="E46" t="s">
        <v>33</v>
      </c>
      <c r="F46" t="s">
        <v>34</v>
      </c>
      <c r="G46" t="s">
        <v>35</v>
      </c>
      <c r="H46" t="s">
        <v>36</v>
      </c>
      <c r="I46" t="s">
        <v>37</v>
      </c>
    </row>
    <row r="47" spans="1:9" ht="14.4">
      <c r="A47" t="s">
        <v>237</v>
      </c>
      <c r="B47" t="s">
        <v>238</v>
      </c>
      <c r="C47" t="s">
        <v>40</v>
      </c>
      <c r="F47" t="s">
        <v>41</v>
      </c>
      <c r="H47" t="s">
        <v>239</v>
      </c>
    </row>
    <row r="48" spans="1:9" ht="14.4">
      <c r="A48" t="s">
        <v>240</v>
      </c>
      <c r="B48" t="s">
        <v>241</v>
      </c>
      <c r="C48" t="s">
        <v>40</v>
      </c>
      <c r="F48" t="s">
        <v>41</v>
      </c>
    </row>
    <row r="49" spans="1:6" ht="14.4">
      <c r="A49" t="s">
        <v>242</v>
      </c>
      <c r="B49" t="s">
        <v>243</v>
      </c>
      <c r="C49" t="s">
        <v>40</v>
      </c>
      <c r="F49" t="s">
        <v>41</v>
      </c>
    </row>
    <row r="50" spans="1:6" ht="14.4"/>
    <row r="51" spans="1:6" ht="14.4">
      <c r="A51" t="s">
        <v>244</v>
      </c>
      <c r="E51">
        <f>MIN(E47:E49)</f>
        <v>0</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1"/>
  <sheetViews>
    <sheetView tabSelected="1" topLeftCell="C52" zoomScale="122" zoomScaleNormal="100" workbookViewId="0">
      <selection activeCell="H63" sqref="H63"/>
    </sheetView>
  </sheetViews>
  <sheetFormatPr baseColWidth="10" defaultColWidth="10.6640625" defaultRowHeight="15" customHeight="1"/>
  <cols>
    <col min="1" max="1" width="10" customWidth="1"/>
    <col min="2" max="2" width="96.5546875" customWidth="1"/>
    <col min="3" max="3" width="2.5546875" customWidth="1"/>
    <col min="4" max="4" width="12" customWidth="1"/>
    <col min="5" max="5" width="8.44140625" customWidth="1"/>
    <col min="6" max="6" width="7.5546875" customWidth="1"/>
    <col min="7" max="7" width="24.88671875" customWidth="1"/>
    <col min="8" max="9" width="23.109375" customWidth="1"/>
    <col min="10" max="10" width="37.88671875" customWidth="1"/>
  </cols>
  <sheetData>
    <row r="1" spans="1:9" ht="14.4">
      <c r="B1" t="s">
        <v>245</v>
      </c>
      <c r="C1" t="s">
        <v>31</v>
      </c>
      <c r="D1" t="s">
        <v>32</v>
      </c>
      <c r="E1" t="s">
        <v>33</v>
      </c>
      <c r="F1" t="s">
        <v>34</v>
      </c>
      <c r="G1" t="s">
        <v>35</v>
      </c>
      <c r="H1" t="s">
        <v>36</v>
      </c>
      <c r="I1" t="s">
        <v>37</v>
      </c>
    </row>
    <row r="2" spans="1:9" ht="14.4">
      <c r="A2" t="s">
        <v>246</v>
      </c>
      <c r="B2" t="s">
        <v>247</v>
      </c>
      <c r="C2" t="s">
        <v>171</v>
      </c>
      <c r="F2" t="s">
        <v>83</v>
      </c>
      <c r="H2" t="s">
        <v>248</v>
      </c>
    </row>
    <row r="3" spans="1:9" ht="14.4">
      <c r="A3" t="s">
        <v>249</v>
      </c>
      <c r="B3" t="s">
        <v>250</v>
      </c>
      <c r="C3" t="s">
        <v>171</v>
      </c>
      <c r="F3" t="s">
        <v>41</v>
      </c>
    </row>
    <row r="4" spans="1:9" ht="14.4">
      <c r="A4" t="s">
        <v>251</v>
      </c>
      <c r="B4" t="s">
        <v>252</v>
      </c>
      <c r="C4" t="s">
        <v>40</v>
      </c>
      <c r="F4" t="s">
        <v>41</v>
      </c>
    </row>
    <row r="5" spans="1:9" ht="14.4">
      <c r="A5" t="s">
        <v>253</v>
      </c>
      <c r="B5" t="s">
        <v>254</v>
      </c>
      <c r="C5" t="s">
        <v>40</v>
      </c>
      <c r="F5" t="s">
        <v>41</v>
      </c>
      <c r="H5" t="s">
        <v>255</v>
      </c>
    </row>
    <row r="6" spans="1:9" ht="14.4">
      <c r="A6" t="s">
        <v>256</v>
      </c>
      <c r="B6" t="s">
        <v>257</v>
      </c>
      <c r="C6" t="s">
        <v>40</v>
      </c>
      <c r="F6" t="s">
        <v>41</v>
      </c>
    </row>
    <row r="7" spans="1:9" ht="14.4">
      <c r="A7" t="s">
        <v>258</v>
      </c>
      <c r="B7" t="s">
        <v>259</v>
      </c>
      <c r="C7" t="s">
        <v>171</v>
      </c>
      <c r="F7" t="s">
        <v>41</v>
      </c>
    </row>
    <row r="8" spans="1:9" ht="14.4">
      <c r="A8" t="s">
        <v>260</v>
      </c>
      <c r="B8" t="s">
        <v>261</v>
      </c>
      <c r="C8" t="s">
        <v>40</v>
      </c>
      <c r="F8" t="s">
        <v>83</v>
      </c>
    </row>
    <row r="9" spans="1:9" ht="14.4">
      <c r="A9" t="s">
        <v>262</v>
      </c>
      <c r="B9" t="s">
        <v>263</v>
      </c>
      <c r="C9" t="s">
        <v>40</v>
      </c>
      <c r="F9" t="s">
        <v>83</v>
      </c>
    </row>
    <row r="10" spans="1:9" ht="14.4">
      <c r="A10" t="s">
        <v>264</v>
      </c>
      <c r="B10" t="s">
        <v>265</v>
      </c>
      <c r="C10" t="s">
        <v>40</v>
      </c>
      <c r="F10" t="s">
        <v>41</v>
      </c>
    </row>
    <row r="11" spans="1:9" ht="14.4">
      <c r="A11" t="s">
        <v>266</v>
      </c>
      <c r="B11" t="s">
        <v>267</v>
      </c>
      <c r="C11" t="s">
        <v>40</v>
      </c>
      <c r="F11" t="s">
        <v>83</v>
      </c>
    </row>
    <row r="12" spans="1:9" ht="14.4">
      <c r="A12" t="s">
        <v>268</v>
      </c>
      <c r="B12" t="s">
        <v>269</v>
      </c>
      <c r="C12" t="s">
        <v>40</v>
      </c>
      <c r="F12" t="s">
        <v>41</v>
      </c>
      <c r="H12" t="s">
        <v>255</v>
      </c>
    </row>
    <row r="13" spans="1:9" ht="14.4">
      <c r="A13" t="s">
        <v>270</v>
      </c>
      <c r="B13" t="s">
        <v>271</v>
      </c>
      <c r="C13" t="s">
        <v>40</v>
      </c>
      <c r="F13" t="s">
        <v>41</v>
      </c>
      <c r="H13" t="s">
        <v>255</v>
      </c>
    </row>
    <row r="14" spans="1:9" ht="14.4"/>
    <row r="15" spans="1:9" ht="14.4">
      <c r="A15" t="s">
        <v>272</v>
      </c>
      <c r="E15">
        <f>MIN(E2:E5)</f>
        <v>0</v>
      </c>
    </row>
    <row r="17" spans="1:9" ht="14.4">
      <c r="B17" t="s">
        <v>273</v>
      </c>
      <c r="C17" t="s">
        <v>31</v>
      </c>
      <c r="D17" t="s">
        <v>32</v>
      </c>
      <c r="E17" t="s">
        <v>33</v>
      </c>
      <c r="F17" t="s">
        <v>34</v>
      </c>
      <c r="G17" t="s">
        <v>35</v>
      </c>
      <c r="H17" t="s">
        <v>36</v>
      </c>
      <c r="I17" t="s">
        <v>37</v>
      </c>
    </row>
    <row r="18" spans="1:9" ht="14.4">
      <c r="A18" t="s">
        <v>274</v>
      </c>
      <c r="B18" t="s">
        <v>275</v>
      </c>
      <c r="C18" t="s">
        <v>40</v>
      </c>
      <c r="F18" t="s">
        <v>83</v>
      </c>
      <c r="H18" t="s">
        <v>276</v>
      </c>
    </row>
    <row r="19" spans="1:9" ht="14.4">
      <c r="A19" t="s">
        <v>277</v>
      </c>
      <c r="B19" t="s">
        <v>278</v>
      </c>
      <c r="C19" t="s">
        <v>171</v>
      </c>
      <c r="F19" t="s">
        <v>83</v>
      </c>
      <c r="H19" t="s">
        <v>276</v>
      </c>
    </row>
    <row r="20" spans="1:9" ht="14.4">
      <c r="A20" t="s">
        <v>279</v>
      </c>
      <c r="B20" t="s">
        <v>280</v>
      </c>
      <c r="C20" t="s">
        <v>40</v>
      </c>
      <c r="F20" t="s">
        <v>83</v>
      </c>
    </row>
    <row r="21" spans="1:9" ht="14.4">
      <c r="A21" t="s">
        <v>281</v>
      </c>
      <c r="B21" t="s">
        <v>282</v>
      </c>
      <c r="C21" t="s">
        <v>171</v>
      </c>
    </row>
    <row r="22" spans="1:9" ht="14.4">
      <c r="A22" t="s">
        <v>283</v>
      </c>
      <c r="B22" t="s">
        <v>284</v>
      </c>
      <c r="C22" t="s">
        <v>40</v>
      </c>
    </row>
    <row r="23" spans="1:9" ht="14.4">
      <c r="A23" t="s">
        <v>285</v>
      </c>
      <c r="B23" t="s">
        <v>286</v>
      </c>
      <c r="C23" t="s">
        <v>40</v>
      </c>
    </row>
    <row r="24" spans="1:9" ht="14.4">
      <c r="A24" t="s">
        <v>287</v>
      </c>
      <c r="B24" t="s">
        <v>288</v>
      </c>
      <c r="C24" t="s">
        <v>40</v>
      </c>
    </row>
    <row r="25" spans="1:9" ht="14.4"/>
    <row r="26" spans="1:9" ht="14.4">
      <c r="A26" t="s">
        <v>289</v>
      </c>
      <c r="E26">
        <f>MIN(E18:E21)</f>
        <v>0</v>
      </c>
    </row>
    <row r="28" spans="1:9" ht="14.4">
      <c r="B28" t="s">
        <v>290</v>
      </c>
      <c r="C28" t="s">
        <v>31</v>
      </c>
      <c r="D28" t="s">
        <v>32</v>
      </c>
      <c r="E28" t="s">
        <v>33</v>
      </c>
      <c r="F28" t="s">
        <v>34</v>
      </c>
      <c r="G28" t="s">
        <v>35</v>
      </c>
      <c r="H28" t="s">
        <v>36</v>
      </c>
      <c r="I28" t="s">
        <v>37</v>
      </c>
    </row>
    <row r="29" spans="1:9" ht="14.4">
      <c r="A29" t="s">
        <v>291</v>
      </c>
      <c r="B29" t="s">
        <v>292</v>
      </c>
      <c r="C29" t="s">
        <v>171</v>
      </c>
      <c r="F29" t="s">
        <v>83</v>
      </c>
      <c r="H29" t="s">
        <v>276</v>
      </c>
    </row>
    <row r="30" spans="1:9" ht="14.4">
      <c r="A30" t="s">
        <v>293</v>
      </c>
      <c r="B30" t="s">
        <v>294</v>
      </c>
      <c r="C30" t="s">
        <v>171</v>
      </c>
      <c r="H30" t="s">
        <v>295</v>
      </c>
    </row>
    <row r="31" spans="1:9" ht="14.4">
      <c r="A31" t="s">
        <v>296</v>
      </c>
      <c r="B31" t="s">
        <v>297</v>
      </c>
      <c r="C31" t="s">
        <v>171</v>
      </c>
      <c r="D31" t="s">
        <v>49</v>
      </c>
      <c r="G31" t="s">
        <v>298</v>
      </c>
      <c r="H31" t="s">
        <v>299</v>
      </c>
    </row>
    <row r="32" spans="1:9" ht="14.4">
      <c r="A32" t="s">
        <v>300</v>
      </c>
      <c r="B32" t="s">
        <v>301</v>
      </c>
      <c r="C32" t="s">
        <v>171</v>
      </c>
    </row>
    <row r="33" spans="1:10" ht="14.4">
      <c r="A33" t="s">
        <v>302</v>
      </c>
      <c r="B33" t="s">
        <v>303</v>
      </c>
      <c r="C33" t="s">
        <v>171</v>
      </c>
    </row>
    <row r="34" spans="1:10" ht="14.4"/>
    <row r="35" spans="1:10" ht="14.4">
      <c r="A35" t="s">
        <v>304</v>
      </c>
    </row>
    <row r="37" spans="1:10" ht="14.4">
      <c r="B37" t="s">
        <v>305</v>
      </c>
      <c r="C37" t="s">
        <v>31</v>
      </c>
      <c r="D37" t="s">
        <v>32</v>
      </c>
      <c r="E37" t="s">
        <v>33</v>
      </c>
      <c r="F37" t="s">
        <v>34</v>
      </c>
      <c r="G37" t="s">
        <v>35</v>
      </c>
      <c r="H37" t="s">
        <v>36</v>
      </c>
      <c r="I37" t="s">
        <v>37</v>
      </c>
    </row>
    <row r="38" spans="1:10" ht="14.4">
      <c r="A38" t="s">
        <v>306</v>
      </c>
      <c r="B38" t="s">
        <v>307</v>
      </c>
      <c r="C38" t="s">
        <v>40</v>
      </c>
      <c r="F38" t="s">
        <v>83</v>
      </c>
      <c r="H38" t="s">
        <v>308</v>
      </c>
      <c r="I38" t="s">
        <v>309</v>
      </c>
      <c r="J38" t="s">
        <v>310</v>
      </c>
    </row>
    <row r="39" spans="1:10" ht="14.4">
      <c r="A39" t="s">
        <v>311</v>
      </c>
      <c r="B39" t="s">
        <v>312</v>
      </c>
      <c r="F39" t="s">
        <v>83</v>
      </c>
      <c r="H39" t="s">
        <v>313</v>
      </c>
      <c r="I39" t="s">
        <v>314</v>
      </c>
    </row>
    <row r="40" spans="1:10" ht="14.4">
      <c r="A40" t="s">
        <v>315</v>
      </c>
      <c r="B40" t="s">
        <v>316</v>
      </c>
      <c r="C40" t="s">
        <v>40</v>
      </c>
    </row>
    <row r="41" spans="1:10" ht="14.4">
      <c r="A41" t="s">
        <v>317</v>
      </c>
      <c r="B41" t="s">
        <v>318</v>
      </c>
    </row>
    <row r="42" spans="1:10" ht="14.4">
      <c r="A42" t="s">
        <v>319</v>
      </c>
      <c r="B42" t="s">
        <v>320</v>
      </c>
      <c r="C42" t="s">
        <v>40</v>
      </c>
    </row>
    <row r="43" spans="1:10" ht="14.4">
      <c r="A43" t="s">
        <v>321</v>
      </c>
      <c r="B43" t="s">
        <v>322</v>
      </c>
      <c r="C43" t="s">
        <v>40</v>
      </c>
    </row>
    <row r="44" spans="1:10" ht="14.4">
      <c r="A44" t="s">
        <v>323</v>
      </c>
      <c r="B44" t="s">
        <v>324</v>
      </c>
      <c r="C44" t="s">
        <v>40</v>
      </c>
    </row>
    <row r="45" spans="1:10" ht="14.4">
      <c r="A45" t="s">
        <v>325</v>
      </c>
      <c r="B45" t="s">
        <v>326</v>
      </c>
      <c r="C45" t="s">
        <v>40</v>
      </c>
    </row>
    <row r="46" spans="1:10" ht="14.4">
      <c r="A46" t="s">
        <v>327</v>
      </c>
    </row>
    <row r="47" spans="1:10" ht="14.4">
      <c r="A47" t="s">
        <v>328</v>
      </c>
      <c r="B47" t="s">
        <v>329</v>
      </c>
      <c r="C47" t="s">
        <v>40</v>
      </c>
    </row>
    <row r="48" spans="1:10" ht="14.4">
      <c r="A48" t="s">
        <v>330</v>
      </c>
      <c r="B48" t="s">
        <v>331</v>
      </c>
      <c r="C48" t="s">
        <v>40</v>
      </c>
    </row>
    <row r="49" spans="1:9" ht="14.4">
      <c r="A49" t="s">
        <v>332</v>
      </c>
      <c r="B49" t="s">
        <v>333</v>
      </c>
      <c r="C49" t="s">
        <v>40</v>
      </c>
    </row>
    <row r="50" spans="1:9" ht="14.4">
      <c r="A50" t="s">
        <v>334</v>
      </c>
      <c r="B50" t="s">
        <v>335</v>
      </c>
      <c r="C50" t="s">
        <v>40</v>
      </c>
    </row>
    <row r="51" spans="1:9" ht="14.4">
      <c r="A51" t="s">
        <v>336</v>
      </c>
      <c r="B51" t="s">
        <v>337</v>
      </c>
      <c r="C51" t="s">
        <v>40</v>
      </c>
    </row>
    <row r="52" spans="1:9" ht="14.4">
      <c r="A52" t="s">
        <v>338</v>
      </c>
      <c r="B52" t="s">
        <v>339</v>
      </c>
      <c r="C52" t="s">
        <v>171</v>
      </c>
    </row>
    <row r="53" spans="1:9" ht="14.4">
      <c r="A53" t="s">
        <v>340</v>
      </c>
      <c r="B53" t="s">
        <v>341</v>
      </c>
      <c r="C53" t="s">
        <v>40</v>
      </c>
    </row>
    <row r="54" spans="1:9" ht="14.4">
      <c r="A54" t="s">
        <v>342</v>
      </c>
      <c r="B54" t="s">
        <v>343</v>
      </c>
      <c r="C54" t="s">
        <v>171</v>
      </c>
    </row>
    <row r="55" spans="1:9" ht="14.4">
      <c r="A55" t="s">
        <v>344</v>
      </c>
      <c r="B55" t="s">
        <v>345</v>
      </c>
      <c r="C55" t="s">
        <v>40</v>
      </c>
    </row>
    <row r="56" spans="1:9" ht="14.4">
      <c r="A56" t="s">
        <v>346</v>
      </c>
      <c r="B56" t="s">
        <v>347</v>
      </c>
      <c r="C56" t="s">
        <v>40</v>
      </c>
    </row>
    <row r="57" spans="1:9" ht="14.4">
      <c r="A57" t="s">
        <v>348</v>
      </c>
      <c r="B57" t="s">
        <v>349</v>
      </c>
      <c r="C57" t="s">
        <v>40</v>
      </c>
    </row>
    <row r="58" spans="1:9" ht="14.4">
      <c r="A58" t="s">
        <v>350</v>
      </c>
      <c r="B58" t="s">
        <v>351</v>
      </c>
      <c r="C58" t="s">
        <v>40</v>
      </c>
    </row>
    <row r="59" spans="1:9" ht="14.4"/>
    <row r="60" spans="1:9" ht="14.4">
      <c r="A60" t="s">
        <v>352</v>
      </c>
      <c r="E60">
        <f>MIN(E38:E43)</f>
        <v>0</v>
      </c>
    </row>
    <row r="62" spans="1:9" ht="14.4">
      <c r="B62" t="s">
        <v>353</v>
      </c>
      <c r="C62" t="s">
        <v>31</v>
      </c>
      <c r="D62" t="s">
        <v>32</v>
      </c>
      <c r="E62" t="s">
        <v>33</v>
      </c>
      <c r="F62" t="s">
        <v>34</v>
      </c>
      <c r="G62" t="s">
        <v>35</v>
      </c>
      <c r="H62" t="s">
        <v>36</v>
      </c>
      <c r="I62" t="s">
        <v>37</v>
      </c>
    </row>
    <row r="63" spans="1:9" ht="14.4">
      <c r="A63" t="s">
        <v>354</v>
      </c>
      <c r="B63" t="s">
        <v>355</v>
      </c>
      <c r="C63" t="s">
        <v>40</v>
      </c>
      <c r="F63" t="s">
        <v>83</v>
      </c>
      <c r="H63" t="s">
        <v>356</v>
      </c>
    </row>
    <row r="64" spans="1:9" ht="14.4">
      <c r="A64" t="s">
        <v>357</v>
      </c>
      <c r="B64" t="s">
        <v>358</v>
      </c>
      <c r="C64" t="s">
        <v>40</v>
      </c>
    </row>
    <row r="65" spans="1:3" ht="14.4">
      <c r="A65" t="s">
        <v>359</v>
      </c>
      <c r="B65" t="s">
        <v>360</v>
      </c>
      <c r="C65" t="s">
        <v>40</v>
      </c>
    </row>
    <row r="66" spans="1:3" ht="14.4">
      <c r="A66" t="s">
        <v>361</v>
      </c>
      <c r="B66" t="s">
        <v>362</v>
      </c>
      <c r="C66" t="s">
        <v>40</v>
      </c>
    </row>
    <row r="67" spans="1:3" ht="14.4">
      <c r="A67" t="s">
        <v>363</v>
      </c>
      <c r="B67" t="s">
        <v>364</v>
      </c>
      <c r="C67" t="s">
        <v>40</v>
      </c>
    </row>
    <row r="68" spans="1:3" ht="14.4">
      <c r="A68" t="s">
        <v>365</v>
      </c>
      <c r="B68" t="s">
        <v>366</v>
      </c>
      <c r="C68" t="s">
        <v>40</v>
      </c>
    </row>
    <row r="69" spans="1:3" ht="14.4">
      <c r="A69" t="s">
        <v>367</v>
      </c>
      <c r="B69" t="s">
        <v>368</v>
      </c>
      <c r="C69" t="s">
        <v>40</v>
      </c>
    </row>
    <row r="70" spans="1:3" ht="14.4">
      <c r="A70" t="s">
        <v>369</v>
      </c>
      <c r="B70" t="s">
        <v>370</v>
      </c>
      <c r="C70" t="s">
        <v>40</v>
      </c>
    </row>
    <row r="71" spans="1:3" ht="14.4">
      <c r="A71" t="s">
        <v>371</v>
      </c>
      <c r="B71" t="s">
        <v>372</v>
      </c>
      <c r="C71" t="s">
        <v>40</v>
      </c>
    </row>
    <row r="72" spans="1:3" ht="14.4">
      <c r="A72" t="s">
        <v>373</v>
      </c>
      <c r="B72" t="s">
        <v>374</v>
      </c>
      <c r="C72" t="s">
        <v>40</v>
      </c>
    </row>
    <row r="73" spans="1:3" ht="14.4">
      <c r="A73" t="s">
        <v>375</v>
      </c>
      <c r="B73" t="s">
        <v>376</v>
      </c>
      <c r="C73" t="s">
        <v>40</v>
      </c>
    </row>
    <row r="74" spans="1:3" ht="14.4">
      <c r="A74" t="s">
        <v>377</v>
      </c>
      <c r="B74" t="s">
        <v>378</v>
      </c>
      <c r="C74" t="s">
        <v>40</v>
      </c>
    </row>
    <row r="75" spans="1:3" ht="14.4">
      <c r="A75" t="s">
        <v>379</v>
      </c>
      <c r="B75" t="s">
        <v>380</v>
      </c>
      <c r="C75" t="s">
        <v>40</v>
      </c>
    </row>
    <row r="76" spans="1:3" ht="14.4">
      <c r="A76" t="s">
        <v>381</v>
      </c>
      <c r="B76" t="s">
        <v>382</v>
      </c>
      <c r="C76" t="s">
        <v>40</v>
      </c>
    </row>
    <row r="77" spans="1:3" ht="14.4">
      <c r="A77" t="s">
        <v>383</v>
      </c>
      <c r="B77" t="s">
        <v>384</v>
      </c>
      <c r="C77" t="s">
        <v>40</v>
      </c>
    </row>
    <row r="78" spans="1:3" ht="14.4">
      <c r="A78" t="s">
        <v>385</v>
      </c>
      <c r="B78" t="s">
        <v>386</v>
      </c>
      <c r="C78" t="s">
        <v>40</v>
      </c>
    </row>
    <row r="79" spans="1:3" ht="14.4">
      <c r="A79" t="s">
        <v>387</v>
      </c>
      <c r="B79" t="s">
        <v>388</v>
      </c>
      <c r="C79" t="s">
        <v>40</v>
      </c>
    </row>
    <row r="80" spans="1:3" ht="14.4"/>
    <row r="81" spans="1:1" ht="14.4">
      <c r="A81" t="s">
        <v>389</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0"/>
  <sheetViews>
    <sheetView zoomScale="116" zoomScaleNormal="100" workbookViewId="0">
      <selection activeCell="B51" sqref="B51"/>
    </sheetView>
  </sheetViews>
  <sheetFormatPr baseColWidth="10" defaultColWidth="10.6640625" defaultRowHeight="15" customHeight="1"/>
  <cols>
    <col min="1" max="1" width="10" customWidth="1"/>
    <col min="2" max="2" width="96.5546875" customWidth="1"/>
    <col min="3" max="3" width="2.5546875" customWidth="1"/>
    <col min="4" max="4" width="12" customWidth="1"/>
    <col min="5" max="5" width="8.44140625" customWidth="1"/>
    <col min="6" max="6" width="7.5546875" customWidth="1"/>
    <col min="7" max="7" width="24.88671875" customWidth="1"/>
    <col min="8" max="9" width="23.109375" customWidth="1"/>
  </cols>
  <sheetData>
    <row r="1" spans="1:9" ht="14.4">
      <c r="B1" t="s">
        <v>390</v>
      </c>
      <c r="C1" t="s">
        <v>31</v>
      </c>
      <c r="D1" t="s">
        <v>32</v>
      </c>
      <c r="E1" t="s">
        <v>33</v>
      </c>
      <c r="F1" t="s">
        <v>34</v>
      </c>
      <c r="G1" t="s">
        <v>35</v>
      </c>
      <c r="H1" t="s">
        <v>36</v>
      </c>
      <c r="I1" t="s">
        <v>37</v>
      </c>
    </row>
    <row r="2" spans="1:9" ht="14.4">
      <c r="A2" t="s">
        <v>391</v>
      </c>
      <c r="B2" t="s">
        <v>392</v>
      </c>
      <c r="C2" t="s">
        <v>171</v>
      </c>
      <c r="F2" t="s">
        <v>83</v>
      </c>
      <c r="H2" t="s">
        <v>393</v>
      </c>
    </row>
    <row r="3" spans="1:9" ht="14.4">
      <c r="A3" t="s">
        <v>394</v>
      </c>
      <c r="C3" t="s">
        <v>171</v>
      </c>
    </row>
    <row r="4" spans="1:9" ht="14.4">
      <c r="A4" t="s">
        <v>395</v>
      </c>
      <c r="C4" t="s">
        <v>171</v>
      </c>
    </row>
    <row r="5" spans="1:9" ht="14.4">
      <c r="A5" t="s">
        <v>396</v>
      </c>
      <c r="C5" t="s">
        <v>171</v>
      </c>
    </row>
    <row r="6" spans="1:9" ht="14.4">
      <c r="A6" t="s">
        <v>397</v>
      </c>
      <c r="C6" t="s">
        <v>171</v>
      </c>
    </row>
    <row r="7" spans="1:9" ht="14.4">
      <c r="A7" t="s">
        <v>398</v>
      </c>
    </row>
    <row r="8" spans="1:9" ht="14.4">
      <c r="A8" t="s">
        <v>399</v>
      </c>
    </row>
    <row r="9" spans="1:9" ht="14.4">
      <c r="A9" t="s">
        <v>400</v>
      </c>
    </row>
    <row r="10" spans="1:9" ht="14.4">
      <c r="A10" t="s">
        <v>401</v>
      </c>
    </row>
    <row r="11" spans="1:9" ht="14.4">
      <c r="A11" t="s">
        <v>402</v>
      </c>
    </row>
    <row r="12" spans="1:9" ht="14.4">
      <c r="A12" t="s">
        <v>403</v>
      </c>
    </row>
    <row r="13" spans="1:9" ht="14.4">
      <c r="A13" t="s">
        <v>404</v>
      </c>
    </row>
    <row r="14" spans="1:9" ht="14.4"/>
    <row r="15" spans="1:9" ht="14.4">
      <c r="A15" t="s">
        <v>405</v>
      </c>
      <c r="E15">
        <f>MIN(E2:E5)</f>
        <v>0</v>
      </c>
    </row>
    <row r="17" spans="1:9" ht="14.4">
      <c r="B17" t="s">
        <v>20</v>
      </c>
      <c r="C17" t="s">
        <v>31</v>
      </c>
      <c r="D17" t="s">
        <v>32</v>
      </c>
      <c r="E17" t="s">
        <v>33</v>
      </c>
      <c r="F17" t="s">
        <v>34</v>
      </c>
      <c r="G17" t="s">
        <v>35</v>
      </c>
      <c r="H17" t="s">
        <v>36</v>
      </c>
      <c r="I17" t="s">
        <v>37</v>
      </c>
    </row>
    <row r="18" spans="1:9" ht="14.4">
      <c r="A18" t="s">
        <v>406</v>
      </c>
      <c r="B18" t="s">
        <v>407</v>
      </c>
      <c r="C18" t="s">
        <v>171</v>
      </c>
      <c r="F18" t="s">
        <v>83</v>
      </c>
      <c r="H18" t="s">
        <v>408</v>
      </c>
    </row>
    <row r="19" spans="1:9" ht="14.4">
      <c r="A19" t="s">
        <v>409</v>
      </c>
    </row>
    <row r="20" spans="1:9" ht="14.4">
      <c r="A20" t="s">
        <v>410</v>
      </c>
    </row>
    <row r="21" spans="1:9" ht="14.4">
      <c r="A21" t="s">
        <v>411</v>
      </c>
    </row>
    <row r="22" spans="1:9" ht="14.4">
      <c r="A22" t="s">
        <v>412</v>
      </c>
    </row>
    <row r="23" spans="1:9" ht="14.4">
      <c r="A23" t="s">
        <v>413</v>
      </c>
    </row>
    <row r="24" spans="1:9" ht="14.4">
      <c r="A24" t="s">
        <v>414</v>
      </c>
    </row>
    <row r="25" spans="1:9" ht="14.4"/>
    <row r="26" spans="1:9" ht="14.4">
      <c r="A26" t="s">
        <v>415</v>
      </c>
      <c r="E26">
        <f>MIN(E18:E21)</f>
        <v>0</v>
      </c>
    </row>
    <row r="28" spans="1:9" ht="14.4">
      <c r="B28" t="s">
        <v>416</v>
      </c>
      <c r="C28" t="s">
        <v>31</v>
      </c>
      <c r="D28" t="s">
        <v>32</v>
      </c>
      <c r="E28" t="s">
        <v>33</v>
      </c>
      <c r="F28" t="s">
        <v>34</v>
      </c>
      <c r="G28" t="s">
        <v>35</v>
      </c>
      <c r="H28" t="s">
        <v>36</v>
      </c>
      <c r="I28" t="s">
        <v>37</v>
      </c>
    </row>
    <row r="29" spans="1:9" ht="14.4">
      <c r="A29" t="s">
        <v>417</v>
      </c>
      <c r="B29" t="s">
        <v>418</v>
      </c>
      <c r="C29" t="s">
        <v>171</v>
      </c>
      <c r="F29" t="s">
        <v>419</v>
      </c>
      <c r="H29" t="s">
        <v>420</v>
      </c>
    </row>
    <row r="30" spans="1:9" ht="14.4">
      <c r="A30" t="s">
        <v>421</v>
      </c>
    </row>
    <row r="31" spans="1:9" ht="14.4">
      <c r="A31" t="s">
        <v>422</v>
      </c>
    </row>
    <row r="32" spans="1:9" ht="14.4">
      <c r="A32" t="s">
        <v>423</v>
      </c>
    </row>
    <row r="33" spans="1:9" ht="14.4"/>
    <row r="34" spans="1:9" ht="14.4">
      <c r="A34" t="s">
        <v>424</v>
      </c>
    </row>
    <row r="36" spans="1:9" ht="14.4">
      <c r="B36" t="s">
        <v>22</v>
      </c>
      <c r="C36" t="s">
        <v>31</v>
      </c>
      <c r="D36" t="s">
        <v>32</v>
      </c>
      <c r="E36" t="s">
        <v>33</v>
      </c>
      <c r="F36" t="s">
        <v>34</v>
      </c>
      <c r="G36" t="s">
        <v>35</v>
      </c>
      <c r="H36" t="s">
        <v>36</v>
      </c>
      <c r="I36" t="s">
        <v>37</v>
      </c>
    </row>
    <row r="37" spans="1:9" ht="14.4">
      <c r="A37" t="s">
        <v>425</v>
      </c>
    </row>
    <row r="38" spans="1:9" ht="14.4">
      <c r="A38" t="s">
        <v>426</v>
      </c>
    </row>
    <row r="39" spans="1:9" ht="14.4">
      <c r="A39" t="s">
        <v>427</v>
      </c>
    </row>
    <row r="40" spans="1:9" ht="14.4">
      <c r="A40" t="s">
        <v>428</v>
      </c>
    </row>
    <row r="41" spans="1:9" ht="14.4">
      <c r="A41" t="s">
        <v>429</v>
      </c>
    </row>
    <row r="42" spans="1:9" ht="14.4">
      <c r="A42" t="s">
        <v>430</v>
      </c>
    </row>
    <row r="43" spans="1:9" ht="14.4">
      <c r="A43" t="s">
        <v>431</v>
      </c>
    </row>
    <row r="44" spans="1:9" ht="14.4">
      <c r="A44" t="s">
        <v>432</v>
      </c>
    </row>
    <row r="45" spans="1:9" ht="14.4">
      <c r="A45" t="s">
        <v>433</v>
      </c>
    </row>
    <row r="46" spans="1:9" ht="14.4">
      <c r="A46" t="s">
        <v>434</v>
      </c>
    </row>
    <row r="47" spans="1:9" ht="14.4">
      <c r="A47" t="s">
        <v>435</v>
      </c>
    </row>
    <row r="48" spans="1:9" ht="14.4">
      <c r="A48" t="s">
        <v>436</v>
      </c>
    </row>
    <row r="49" spans="1:9" ht="14.4">
      <c r="A49" t="s">
        <v>437</v>
      </c>
    </row>
    <row r="50" spans="1:9" ht="14.4">
      <c r="A50" t="s">
        <v>438</v>
      </c>
    </row>
    <row r="51" spans="1:9" ht="14.4">
      <c r="A51" t="s">
        <v>439</v>
      </c>
    </row>
    <row r="52" spans="1:9" ht="14.4">
      <c r="A52" t="s">
        <v>440</v>
      </c>
    </row>
    <row r="53" spans="1:9" ht="14.4">
      <c r="A53" t="s">
        <v>441</v>
      </c>
    </row>
    <row r="54" spans="1:9" ht="14.4">
      <c r="A54" t="s">
        <v>442</v>
      </c>
    </row>
    <row r="55" spans="1:9" ht="14.4">
      <c r="A55" t="s">
        <v>443</v>
      </c>
    </row>
    <row r="56" spans="1:9" ht="14.4">
      <c r="A56" t="s">
        <v>444</v>
      </c>
    </row>
    <row r="57" spans="1:9" ht="14.4">
      <c r="A57" t="s">
        <v>445</v>
      </c>
    </row>
    <row r="58" spans="1:9" ht="14.4"/>
    <row r="59" spans="1:9" ht="14.4">
      <c r="A59" t="s">
        <v>446</v>
      </c>
      <c r="E59">
        <f>MIN(E37:E42)</f>
        <v>0</v>
      </c>
    </row>
    <row r="61" spans="1:9" ht="14.4">
      <c r="B61" t="s">
        <v>447</v>
      </c>
      <c r="C61" t="s">
        <v>31</v>
      </c>
      <c r="D61" t="s">
        <v>32</v>
      </c>
      <c r="E61" t="s">
        <v>33</v>
      </c>
      <c r="F61" t="s">
        <v>34</v>
      </c>
      <c r="G61" t="s">
        <v>35</v>
      </c>
      <c r="H61" t="s">
        <v>36</v>
      </c>
      <c r="I61" t="s">
        <v>37</v>
      </c>
    </row>
    <row r="62" spans="1:9" ht="14.4">
      <c r="A62" t="s">
        <v>448</v>
      </c>
      <c r="B62" t="s">
        <v>449</v>
      </c>
      <c r="C62" t="s">
        <v>40</v>
      </c>
      <c r="F62" t="s">
        <v>419</v>
      </c>
      <c r="G62" t="s">
        <v>450</v>
      </c>
    </row>
    <row r="63" spans="1:9" ht="14.4">
      <c r="A63" t="s">
        <v>451</v>
      </c>
    </row>
    <row r="64" spans="1:9" ht="14.4">
      <c r="A64" t="s">
        <v>452</v>
      </c>
    </row>
    <row r="65" spans="1:5" ht="14.4">
      <c r="A65" t="s">
        <v>453</v>
      </c>
    </row>
    <row r="66" spans="1:5" ht="14.4">
      <c r="A66" t="s">
        <v>454</v>
      </c>
    </row>
    <row r="67" spans="1:5" ht="14.4">
      <c r="A67" t="s">
        <v>455</v>
      </c>
    </row>
    <row r="68" spans="1:5" ht="14.4">
      <c r="A68" t="s">
        <v>456</v>
      </c>
    </row>
    <row r="69" spans="1:5" ht="14.4">
      <c r="A69" t="s">
        <v>457</v>
      </c>
    </row>
    <row r="70" spans="1:5" ht="14.4">
      <c r="A70" t="s">
        <v>458</v>
      </c>
    </row>
    <row r="71" spans="1:5" ht="14.4">
      <c r="A71" t="s">
        <v>459</v>
      </c>
    </row>
    <row r="72" spans="1:5" ht="14.4">
      <c r="A72" t="s">
        <v>460</v>
      </c>
    </row>
    <row r="73" spans="1:5" ht="14.4">
      <c r="A73" t="s">
        <v>461</v>
      </c>
    </row>
    <row r="74" spans="1:5" ht="14.4">
      <c r="A74" t="s">
        <v>462</v>
      </c>
    </row>
    <row r="75" spans="1:5" ht="14.4">
      <c r="A75" t="s">
        <v>463</v>
      </c>
    </row>
    <row r="76" spans="1:5" ht="14.4">
      <c r="A76" t="s">
        <v>464</v>
      </c>
    </row>
    <row r="77" spans="1:5" ht="14.4">
      <c r="A77" t="s">
        <v>465</v>
      </c>
    </row>
    <row r="78" spans="1:5" ht="14.4">
      <c r="A78" t="s">
        <v>466</v>
      </c>
    </row>
    <row r="79" spans="1:5" ht="14.4"/>
    <row r="80" spans="1:5" ht="14.4">
      <c r="A80" t="s">
        <v>467</v>
      </c>
      <c r="E80">
        <f>MIN(E62:E64)</f>
        <v>0</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1"/>
  <sheetViews>
    <sheetView topLeftCell="A16" zoomScale="75" zoomScaleNormal="100" workbookViewId="0">
      <selection activeCell="H32" sqref="H32"/>
    </sheetView>
  </sheetViews>
  <sheetFormatPr baseColWidth="10" defaultColWidth="10.6640625" defaultRowHeight="15" customHeight="1"/>
  <cols>
    <col min="1" max="1" width="10" customWidth="1"/>
    <col min="2" max="2" width="96.5546875" customWidth="1"/>
    <col min="3" max="3" width="2.5546875" customWidth="1"/>
    <col min="4" max="4" width="12" customWidth="1"/>
    <col min="5" max="5" width="8.44140625" customWidth="1"/>
    <col min="6" max="6" width="7.5546875" customWidth="1"/>
    <col min="7" max="7" width="24.88671875" customWidth="1"/>
    <col min="8" max="9" width="23.109375" customWidth="1"/>
  </cols>
  <sheetData>
    <row r="1" spans="1:9" ht="14.4">
      <c r="B1" t="s">
        <v>468</v>
      </c>
      <c r="C1" t="s">
        <v>31</v>
      </c>
      <c r="D1" t="s">
        <v>32</v>
      </c>
      <c r="E1" t="s">
        <v>33</v>
      </c>
      <c r="F1" t="s">
        <v>34</v>
      </c>
      <c r="G1" t="s">
        <v>35</v>
      </c>
      <c r="H1" t="s">
        <v>36</v>
      </c>
      <c r="I1" t="s">
        <v>37</v>
      </c>
    </row>
    <row r="2" spans="1:9" ht="14.4">
      <c r="A2" t="s">
        <v>469</v>
      </c>
      <c r="B2" t="s">
        <v>470</v>
      </c>
      <c r="C2" t="s">
        <v>40</v>
      </c>
      <c r="F2" t="s">
        <v>419</v>
      </c>
      <c r="H2" t="s">
        <v>471</v>
      </c>
    </row>
    <row r="3" spans="1:9" ht="14.4">
      <c r="A3" t="s">
        <v>472</v>
      </c>
    </row>
    <row r="4" spans="1:9" ht="14.4">
      <c r="A4" t="s">
        <v>473</v>
      </c>
    </row>
    <row r="5" spans="1:9" ht="14.4">
      <c r="A5" t="s">
        <v>474</v>
      </c>
    </row>
    <row r="6" spans="1:9" ht="14.4">
      <c r="A6" t="s">
        <v>475</v>
      </c>
    </row>
    <row r="7" spans="1:9" ht="14.4">
      <c r="A7" t="s">
        <v>476</v>
      </c>
    </row>
    <row r="8" spans="1:9" ht="14.4">
      <c r="A8" t="s">
        <v>477</v>
      </c>
    </row>
    <row r="9" spans="1:9" ht="14.4">
      <c r="A9" t="s">
        <v>478</v>
      </c>
    </row>
    <row r="10" spans="1:9" ht="14.4">
      <c r="A10" t="s">
        <v>479</v>
      </c>
    </row>
    <row r="11" spans="1:9" ht="14.4">
      <c r="A11" t="s">
        <v>480</v>
      </c>
    </row>
    <row r="12" spans="1:9" ht="14.4">
      <c r="A12" t="s">
        <v>481</v>
      </c>
    </row>
    <row r="13" spans="1:9" ht="14.4">
      <c r="A13" t="s">
        <v>482</v>
      </c>
    </row>
    <row r="14" spans="1:9" ht="14.4"/>
    <row r="15" spans="1:9" ht="14.4">
      <c r="A15" t="s">
        <v>483</v>
      </c>
      <c r="E15">
        <f>MIN(E2:E5)</f>
        <v>0</v>
      </c>
    </row>
    <row r="17" spans="1:9" ht="14.4">
      <c r="B17" t="s">
        <v>484</v>
      </c>
      <c r="C17" t="s">
        <v>31</v>
      </c>
      <c r="D17" t="s">
        <v>32</v>
      </c>
      <c r="E17" t="s">
        <v>33</v>
      </c>
      <c r="F17" t="s">
        <v>34</v>
      </c>
      <c r="G17" t="s">
        <v>35</v>
      </c>
      <c r="H17" t="s">
        <v>36</v>
      </c>
      <c r="I17" t="s">
        <v>37</v>
      </c>
    </row>
    <row r="18" spans="1:9" ht="14.4">
      <c r="A18" t="s">
        <v>485</v>
      </c>
      <c r="B18" t="s">
        <v>486</v>
      </c>
      <c r="C18" t="s">
        <v>171</v>
      </c>
    </row>
    <row r="19" spans="1:9" ht="14.4">
      <c r="A19" t="s">
        <v>487</v>
      </c>
      <c r="B19" t="s">
        <v>488</v>
      </c>
      <c r="C19" t="s">
        <v>171</v>
      </c>
    </row>
    <row r="20" spans="1:9" ht="14.4">
      <c r="A20" t="s">
        <v>489</v>
      </c>
      <c r="B20" t="s">
        <v>490</v>
      </c>
      <c r="C20" t="s">
        <v>171</v>
      </c>
    </row>
    <row r="21" spans="1:9" ht="14.4">
      <c r="A21" t="s">
        <v>491</v>
      </c>
    </row>
    <row r="22" spans="1:9" ht="14.4">
      <c r="A22" t="s">
        <v>492</v>
      </c>
    </row>
    <row r="23" spans="1:9" ht="14.4">
      <c r="A23" t="s">
        <v>493</v>
      </c>
    </row>
    <row r="24" spans="1:9" ht="14.4">
      <c r="A24" t="s">
        <v>494</v>
      </c>
    </row>
    <row r="25" spans="1:9" ht="14.4"/>
    <row r="26" spans="1:9" ht="14.4">
      <c r="A26" t="s">
        <v>495</v>
      </c>
      <c r="E26">
        <f>MIN(E18:E21)</f>
        <v>0</v>
      </c>
    </row>
    <row r="28" spans="1:9" ht="14.4">
      <c r="B28" t="s">
        <v>496</v>
      </c>
      <c r="C28" t="s">
        <v>31</v>
      </c>
      <c r="D28" t="s">
        <v>32</v>
      </c>
      <c r="E28" t="s">
        <v>33</v>
      </c>
      <c r="F28" t="s">
        <v>34</v>
      </c>
      <c r="G28" t="s">
        <v>35</v>
      </c>
      <c r="H28" t="s">
        <v>36</v>
      </c>
      <c r="I28" t="s">
        <v>37</v>
      </c>
    </row>
    <row r="29" spans="1:9" ht="14.4">
      <c r="A29" t="s">
        <v>497</v>
      </c>
      <c r="B29" t="s">
        <v>498</v>
      </c>
    </row>
    <row r="30" spans="1:9" ht="14.4">
      <c r="A30" t="s">
        <v>499</v>
      </c>
      <c r="B30" s="1" t="s">
        <v>500</v>
      </c>
    </row>
    <row r="31" spans="1:9" ht="14.4">
      <c r="A31" t="s">
        <v>501</v>
      </c>
      <c r="B31" s="1" t="s">
        <v>502</v>
      </c>
    </row>
    <row r="32" spans="1:9" ht="14.4">
      <c r="A32" t="s">
        <v>503</v>
      </c>
      <c r="B32" s="1" t="s">
        <v>504</v>
      </c>
    </row>
    <row r="33" spans="1:9" ht="14.4">
      <c r="A33" t="s">
        <v>505</v>
      </c>
      <c r="B33" s="2" t="s">
        <v>506</v>
      </c>
    </row>
    <row r="34" spans="1:9" ht="14.4"/>
    <row r="35" spans="1:9" ht="14.4">
      <c r="A35" t="s">
        <v>507</v>
      </c>
    </row>
    <row r="37" spans="1:9" ht="14.4">
      <c r="B37" t="s">
        <v>508</v>
      </c>
      <c r="C37" t="s">
        <v>31</v>
      </c>
      <c r="D37" t="s">
        <v>32</v>
      </c>
      <c r="E37" t="s">
        <v>33</v>
      </c>
      <c r="F37" t="s">
        <v>34</v>
      </c>
      <c r="G37" t="s">
        <v>35</v>
      </c>
      <c r="H37" t="s">
        <v>36</v>
      </c>
      <c r="I37" t="s">
        <v>37</v>
      </c>
    </row>
    <row r="38" spans="1:9" ht="14.4">
      <c r="A38" t="s">
        <v>509</v>
      </c>
      <c r="B38" t="s">
        <v>510</v>
      </c>
    </row>
    <row r="39" spans="1:9" ht="14.4">
      <c r="A39" t="s">
        <v>511</v>
      </c>
    </row>
    <row r="40" spans="1:9" ht="14.4">
      <c r="A40" t="s">
        <v>512</v>
      </c>
    </row>
    <row r="41" spans="1:9" ht="14.4">
      <c r="A41" t="s">
        <v>513</v>
      </c>
    </row>
    <row r="42" spans="1:9" ht="14.4">
      <c r="A42" t="s">
        <v>514</v>
      </c>
    </row>
    <row r="43" spans="1:9" ht="14.4">
      <c r="A43" t="s">
        <v>515</v>
      </c>
    </row>
    <row r="44" spans="1:9" ht="14.4">
      <c r="A44" t="s">
        <v>516</v>
      </c>
    </row>
    <row r="45" spans="1:9" ht="14.4">
      <c r="A45" t="s">
        <v>517</v>
      </c>
    </row>
    <row r="46" spans="1:9" ht="14.4">
      <c r="A46" t="s">
        <v>518</v>
      </c>
    </row>
    <row r="47" spans="1:9" ht="14.4">
      <c r="A47" t="s">
        <v>519</v>
      </c>
    </row>
    <row r="48" spans="1:9" ht="14.4">
      <c r="A48" t="s">
        <v>520</v>
      </c>
    </row>
    <row r="49" spans="1:9" ht="14.4">
      <c r="A49" t="s">
        <v>521</v>
      </c>
    </row>
    <row r="50" spans="1:9" ht="14.4">
      <c r="A50" t="s">
        <v>522</v>
      </c>
    </row>
    <row r="51" spans="1:9" ht="14.4">
      <c r="A51" t="s">
        <v>523</v>
      </c>
    </row>
    <row r="52" spans="1:9" ht="14.4">
      <c r="A52" t="s">
        <v>524</v>
      </c>
    </row>
    <row r="53" spans="1:9" ht="14.4">
      <c r="A53" t="s">
        <v>525</v>
      </c>
    </row>
    <row r="54" spans="1:9" ht="14.4">
      <c r="A54" t="s">
        <v>526</v>
      </c>
    </row>
    <row r="55" spans="1:9" ht="14.4">
      <c r="A55" t="s">
        <v>527</v>
      </c>
    </row>
    <row r="56" spans="1:9" ht="14.4">
      <c r="A56" t="s">
        <v>528</v>
      </c>
    </row>
    <row r="57" spans="1:9" ht="14.4">
      <c r="A57" t="s">
        <v>529</v>
      </c>
    </row>
    <row r="58" spans="1:9" ht="14.4">
      <c r="A58" t="s">
        <v>530</v>
      </c>
    </row>
    <row r="59" spans="1:9" ht="14.4"/>
    <row r="60" spans="1:9" ht="14.4">
      <c r="A60" t="s">
        <v>531</v>
      </c>
      <c r="E60">
        <f>MIN(E38:E43)</f>
        <v>0</v>
      </c>
    </row>
    <row r="62" spans="1:9" ht="14.4">
      <c r="B62" t="s">
        <v>29</v>
      </c>
      <c r="C62" t="s">
        <v>31</v>
      </c>
      <c r="D62" t="s">
        <v>32</v>
      </c>
      <c r="E62" t="s">
        <v>33</v>
      </c>
      <c r="F62" t="s">
        <v>34</v>
      </c>
      <c r="G62" t="s">
        <v>35</v>
      </c>
      <c r="H62" t="s">
        <v>36</v>
      </c>
      <c r="I62" t="s">
        <v>37</v>
      </c>
    </row>
    <row r="63" spans="1:9" ht="14.4">
      <c r="A63" t="s">
        <v>532</v>
      </c>
      <c r="B63" t="s">
        <v>533</v>
      </c>
    </row>
    <row r="64" spans="1:9" ht="14.4">
      <c r="A64" t="s">
        <v>534</v>
      </c>
      <c r="B64" t="s">
        <v>535</v>
      </c>
    </row>
    <row r="65" spans="1:2" ht="14.4">
      <c r="A65" t="s">
        <v>536</v>
      </c>
      <c r="B65" t="s">
        <v>537</v>
      </c>
    </row>
    <row r="66" spans="1:2" ht="14.4">
      <c r="A66" t="s">
        <v>538</v>
      </c>
      <c r="B66" t="s">
        <v>539</v>
      </c>
    </row>
    <row r="67" spans="1:2" ht="14.4">
      <c r="A67" t="s">
        <v>540</v>
      </c>
    </row>
    <row r="68" spans="1:2" ht="14.4">
      <c r="A68" t="s">
        <v>541</v>
      </c>
    </row>
    <row r="69" spans="1:2" ht="14.4">
      <c r="A69" t="s">
        <v>542</v>
      </c>
    </row>
    <row r="70" spans="1:2" ht="14.4">
      <c r="A70" t="s">
        <v>543</v>
      </c>
    </row>
    <row r="71" spans="1:2" ht="14.4">
      <c r="A71" t="s">
        <v>544</v>
      </c>
    </row>
    <row r="72" spans="1:2" ht="14.4">
      <c r="A72" t="s">
        <v>545</v>
      </c>
    </row>
    <row r="73" spans="1:2" ht="14.4">
      <c r="A73" t="s">
        <v>546</v>
      </c>
    </row>
    <row r="74" spans="1:2" ht="14.4">
      <c r="A74" t="s">
        <v>547</v>
      </c>
    </row>
    <row r="75" spans="1:2" ht="14.4">
      <c r="A75" t="s">
        <v>548</v>
      </c>
    </row>
    <row r="76" spans="1:2" ht="14.4">
      <c r="A76" t="s">
        <v>549</v>
      </c>
    </row>
    <row r="77" spans="1:2" ht="14.4">
      <c r="A77" t="s">
        <v>550</v>
      </c>
    </row>
    <row r="78" spans="1:2" ht="14.4">
      <c r="A78" t="s">
        <v>551</v>
      </c>
    </row>
    <row r="79" spans="1:2" ht="14.4">
      <c r="A79" t="s">
        <v>552</v>
      </c>
    </row>
    <row r="80" spans="1:2" ht="14.4"/>
    <row r="81" spans="1:5" ht="14.4">
      <c r="A81" t="s">
        <v>553</v>
      </c>
      <c r="E81">
        <f>MIN(E63:E65)</f>
        <v>0</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1"/>
  <sheetViews>
    <sheetView zoomScaleNormal="100" workbookViewId="0">
      <selection activeCell="A19" sqref="A19"/>
    </sheetView>
  </sheetViews>
  <sheetFormatPr baseColWidth="10" defaultColWidth="11.5546875" defaultRowHeight="12.75" customHeight="1"/>
  <cols>
    <col min="1" max="1" width="11.33203125" customWidth="1"/>
    <col min="2" max="2" width="16" customWidth="1"/>
  </cols>
  <sheetData>
    <row r="1" spans="1:2" ht="14.4">
      <c r="A1" t="s">
        <v>554</v>
      </c>
      <c r="B1" t="s">
        <v>555</v>
      </c>
    </row>
    <row r="2" spans="1:2" ht="14.4">
      <c r="A2">
        <v>1</v>
      </c>
      <c r="B2">
        <v>4</v>
      </c>
    </row>
    <row r="3" spans="1:2" ht="14.4">
      <c r="A3">
        <v>2</v>
      </c>
      <c r="B3">
        <v>13</v>
      </c>
    </row>
    <row r="4" spans="1:2" ht="14.4">
      <c r="A4">
        <v>3</v>
      </c>
      <c r="B4">
        <v>4</v>
      </c>
    </row>
    <row r="5" spans="1:2" ht="14.4">
      <c r="A5">
        <v>4</v>
      </c>
      <c r="B5">
        <v>3</v>
      </c>
    </row>
    <row r="6" spans="1:2" ht="14.4">
      <c r="A6">
        <v>5</v>
      </c>
      <c r="B6">
        <v>5</v>
      </c>
    </row>
    <row r="7" spans="1:2" ht="14.4">
      <c r="A7">
        <v>6</v>
      </c>
      <c r="B7">
        <v>5</v>
      </c>
    </row>
    <row r="8" spans="1:2" ht="14.4">
      <c r="A8">
        <v>7</v>
      </c>
      <c r="B8">
        <v>12</v>
      </c>
    </row>
    <row r="9" spans="1:2" ht="14.4">
      <c r="A9">
        <v>8</v>
      </c>
      <c r="B9">
        <v>5</v>
      </c>
    </row>
    <row r="10" spans="1:2" ht="14.4">
      <c r="A10">
        <v>9</v>
      </c>
      <c r="B10">
        <v>13</v>
      </c>
    </row>
    <row r="11" spans="1:2" ht="14.4">
      <c r="A11">
        <v>10</v>
      </c>
      <c r="B11">
        <v>5</v>
      </c>
    </row>
    <row r="12" spans="1:2" ht="14.4">
      <c r="A12">
        <v>11</v>
      </c>
      <c r="B12">
        <v>7</v>
      </c>
    </row>
    <row r="13" spans="1:2" ht="14.4">
      <c r="A13">
        <v>12</v>
      </c>
      <c r="B13">
        <v>4</v>
      </c>
    </row>
    <row r="14" spans="1:2" ht="14.4">
      <c r="A14">
        <v>13</v>
      </c>
      <c r="B14">
        <v>18</v>
      </c>
    </row>
    <row r="15" spans="1:2" ht="14.4">
      <c r="A15">
        <v>14</v>
      </c>
      <c r="B15">
        <v>17</v>
      </c>
    </row>
    <row r="16" spans="1:2" ht="14.4">
      <c r="A16">
        <v>15</v>
      </c>
      <c r="B16">
        <v>11</v>
      </c>
    </row>
    <row r="17" spans="1:2" ht="14.4">
      <c r="A17">
        <v>16</v>
      </c>
      <c r="B17">
        <v>6</v>
      </c>
    </row>
    <row r="18" spans="1:2" ht="14.4">
      <c r="A18">
        <v>17</v>
      </c>
      <c r="B18">
        <v>9</v>
      </c>
    </row>
    <row r="19" spans="1:2" ht="14.4">
      <c r="A19">
        <v>18</v>
      </c>
      <c r="B19">
        <v>7</v>
      </c>
    </row>
    <row r="20" spans="1:2" ht="14.4">
      <c r="A20">
        <v>19</v>
      </c>
      <c r="B20">
        <v>9</v>
      </c>
    </row>
    <row r="21" spans="1:2" ht="14.4">
      <c r="A21">
        <v>20</v>
      </c>
      <c r="B21">
        <v>4</v>
      </c>
    </row>
  </sheetData>
  <autoFilter ref="A1:B21" xr:uid="{00000000-0009-0000-0000-000006000000}"/>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3556</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CUBE</vt:lpstr>
      <vt:lpstr>1_Structurer</vt:lpstr>
      <vt:lpstr>2_ProtégerAutour</vt:lpstr>
      <vt:lpstr>3_ProtégerInterieur</vt:lpstr>
      <vt:lpstr>4_Défendre</vt:lpstr>
      <vt:lpstr>5_Résilience</vt:lpstr>
      <vt:lpstr>Feuille7</vt:lpstr>
    </vt:vector>
  </TitlesOfParts>
  <Company>Ministeres Sociaux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DENIS, Nicolas (DSS/SD4/4C)</dc:creator>
  <dc:description/>
  <cp:lastModifiedBy>Mohammed Ryad DERMOUCHE</cp:lastModifiedBy>
  <cp:revision>10</cp:revision>
  <dcterms:created xsi:type="dcterms:W3CDTF">2024-12-19T15:06:58Z</dcterms:created>
  <dcterms:modified xsi:type="dcterms:W3CDTF">2025-04-29T19:03:36Z</dcterms:modified>
  <dc:language>fr-FR</dc:language>
</cp:coreProperties>
</file>